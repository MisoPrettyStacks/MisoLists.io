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mprehensive Report" sheetId="1" state="visible" r:id="rId1"/>
    <sheet xmlns:r="http://schemas.openxmlformats.org/officeDocument/2006/relationships" name="Analysis (Cross-Tally)" sheetId="2" state="visible" r:id="rId2"/>
    <sheet xmlns:r="http://schemas.openxmlformats.org/officeDocument/2006/relationships" name="Source Inventory &amp; Methodology" sheetId="3" state="visible" r:id="rId3"/>
    <sheet xmlns:r="http://schemas.openxmlformats.org/officeDocument/2006/relationships" name="2026 ATA (DNI)" sheetId="4" state="visible" r:id="rId4"/>
    <sheet xmlns:r="http://schemas.openxmlformats.org/officeDocument/2006/relationships" name="Global Trends 2040" sheetId="5" state="visible" r:id="rId5"/>
    <sheet xmlns:r="http://schemas.openxmlformats.org/officeDocument/2006/relationships" name="Global Trends 2035" sheetId="6" state="visible" r:id="rId6"/>
    <sheet xmlns:r="http://schemas.openxmlformats.org/officeDocument/2006/relationships" name="Global Trends 2030" sheetId="7" state="visible" r:id="rId7"/>
    <sheet xmlns:r="http://schemas.openxmlformats.org/officeDocument/2006/relationships" name="NIE North Korea Nuclear" sheetId="8" state="visible" r:id="rId8"/>
    <sheet xmlns:r="http://schemas.openxmlformats.org/officeDocument/2006/relationships" name="NIE Gray Zone 2030" sheetId="9" state="visible" r:id="rId9"/>
    <sheet xmlns:r="http://schemas.openxmlformats.org/officeDocument/2006/relationships" name="NIE Chinese Space 2030" sheetId="10" state="visible" r:id="rId10"/>
    <sheet xmlns:r="http://schemas.openxmlformats.org/officeDocument/2006/relationships" name="NIE Health Security" sheetId="11" state="visible" r:id="rId11"/>
    <sheet xmlns:r="http://schemas.openxmlformats.org/officeDocument/2006/relationships" name="NIE Climate Change" sheetId="12" state="visible" r:id="rId12"/>
    <sheet xmlns:r="http://schemas.openxmlformats.org/officeDocument/2006/relationships" name="NIE COVID Through 2026" sheetId="13" state="visible" r:id="rId13"/>
    <sheet xmlns:r="http://schemas.openxmlformats.org/officeDocument/2006/relationships" name="NICA Iran Transition" sheetId="14" state="visible" r:id="rId14"/>
    <sheet xmlns:r="http://schemas.openxmlformats.org/officeDocument/2006/relationships" name="NIE Afghanistan Taliban" sheetId="15" state="visible" r:id="rId15"/>
    <sheet xmlns:r="http://schemas.openxmlformats.org/officeDocument/2006/relationships" name="intelligence.gov" sheetId="16" state="visible" r:id="rId16"/>
    <sheet xmlns:r="http://schemas.openxmlformats.org/officeDocument/2006/relationships" name="dni.gov" sheetId="17" state="visible" r:id="rId17"/>
  </sheets>
  <definedNames>
    <definedName name="_xlnm.Print_Titles" localSheetId="0">'Comprehensive Report'!$5:$5</definedName>
    <definedName name="_xlnm.Print_Titles" localSheetId="1">'Analysis (Cross-Tally)'!$5:$5</definedName>
    <definedName name="_xlnm.Print_Titles" localSheetId="3">'2026 ATA (DNI)'!$5:$5</definedName>
    <definedName name="_xlnm.Print_Titles" localSheetId="4">'Global Trends 2040'!$5:$5</definedName>
    <definedName name="_xlnm.Print_Titles" localSheetId="5">'Global Trends 2035'!$5:$5</definedName>
    <definedName name="_xlnm.Print_Titles" localSheetId="6">'Global Trends 2030'!$5:$5</definedName>
    <definedName name="_xlnm.Print_Titles" localSheetId="7">'NIE North Korea Nuclear'!$5:$5</definedName>
    <definedName name="_xlnm.Print_Titles" localSheetId="8">'NIE Gray Zone 2030'!$5:$5</definedName>
    <definedName name="_xlnm.Print_Titles" localSheetId="9">'NIE Chinese Space 2030'!$5:$5</definedName>
    <definedName name="_xlnm.Print_Titles" localSheetId="10">'NIE Health Security'!$5:$5</definedName>
    <definedName name="_xlnm.Print_Titles" localSheetId="11">'NIE Climate Change'!$5:$5</definedName>
    <definedName name="_xlnm.Print_Titles" localSheetId="12">'NIE COVID Through 2026'!$5:$5</definedName>
    <definedName name="_xlnm.Print_Titles" localSheetId="13">'NICA Iran Transition'!$5:$5</definedName>
    <definedName name="_xlnm.Print_Titles" localSheetId="14">'NIE Afghanistan Taliban'!$5:$5</definedName>
    <definedName name="_xlnm.Print_Titles" localSheetId="15">'intelligence.gov'!$5:$5</definedName>
    <definedName name="_xlnm.Print_Titles" localSheetId="16">'dni.gov'!$5:$5</definedName>
  </definedNames>
  <calcPr calcId="124519" fullCalcOnLoad="1" refMode="A1" iterate="0" iterateCount="100" iterateDelta="0.0001"/>
</workbook>
</file>

<file path=xl/styles.xml><?xml version="1.0" encoding="utf-8"?>
<styleSheet xmlns="http://schemas.openxmlformats.org/spreadsheetml/2006/main">
  <numFmts count="0"/>
  <fonts count="25">
    <font>
      <name val="Calibri"/>
      <charset val="1"/>
      <family val="2"/>
      <color theme="1"/>
      <sz val="11"/>
    </font>
    <font>
      <name val="Arial"/>
      <family val="0"/>
      <sz val="10"/>
    </font>
    <font>
      <name val="Arial"/>
      <family val="0"/>
      <sz val="10"/>
    </font>
    <font>
      <name val="Arial"/>
      <family val="0"/>
      <sz val="10"/>
    </font>
    <font>
      <name val="Calibri"/>
      <charset val="1"/>
      <family val="0"/>
      <b val="1"/>
      <color rgb="FF1F3864"/>
      <sz val="15"/>
    </font>
    <font>
      <name val="Calibri"/>
      <charset val="1"/>
      <family val="0"/>
      <i val="1"/>
      <color rgb="FF595959"/>
      <sz val="10"/>
    </font>
    <font>
      <name val="Calibri"/>
      <charset val="1"/>
      <family val="0"/>
      <b val="1"/>
      <color rgb="FFFFFFFF"/>
      <sz val="10"/>
    </font>
    <font>
      <name val="Calibri"/>
      <charset val="1"/>
      <family val="0"/>
      <sz val="9"/>
    </font>
    <font>
      <name val="Calibri"/>
      <charset val="1"/>
      <family val="0"/>
      <b val="1"/>
      <sz val="9"/>
    </font>
    <font>
      <name val="Cambria"/>
      <charset val="1"/>
      <family val="0"/>
      <i val="1"/>
      <color rgb="FF595959"/>
      <sz val="8"/>
    </font>
    <font>
      <name val="Cambria"/>
      <charset val="1"/>
      <family val="0"/>
      <b val="1"/>
      <color rgb="FF1F3864"/>
      <sz val="11"/>
    </font>
    <font>
      <name val="Cambria"/>
      <charset val="1"/>
      <family val="0"/>
      <sz val="9"/>
    </font>
    <font>
      <name val="Cambria"/>
      <charset val="1"/>
      <family val="0"/>
      <b val="1"/>
      <sz val="9"/>
    </font>
    <font>
      <name val="Cambria"/>
      <charset val="1"/>
      <family val="0"/>
      <b val="1"/>
      <color rgb="FF1F3864"/>
      <sz val="12"/>
    </font>
    <font>
      <name val="Cambria"/>
      <charset val="1"/>
      <family val="0"/>
      <b val="1"/>
      <color rgb="FF2E7C7C"/>
      <sz val="9"/>
    </font>
    <font>
      <name val="Calibri"/>
      <charset val="1"/>
      <family val="0"/>
      <color rgb="FF0563C1"/>
      <sz val="9"/>
      <u val="single"/>
    </font>
    <font>
      <name val="Cambria"/>
      <charset val="1"/>
      <family val="0"/>
      <i val="1"/>
      <color rgb="FF964219"/>
      <sz val="8"/>
    </font>
    <font>
      <name val="Calibri"/>
      <b val="1"/>
      <color rgb="001F3864"/>
      <sz val="15"/>
    </font>
    <font>
      <name val="Calibri"/>
      <i val="1"/>
      <color rgb="00595959"/>
      <sz val="10"/>
    </font>
    <font>
      <b val="1"/>
      <color rgb="001F3864"/>
      <sz val="12"/>
    </font>
    <font>
      <b val="1"/>
      <color rgb="002E7C7C"/>
      <sz val="9"/>
    </font>
    <font>
      <name val="Calibri"/>
      <sz val="9"/>
    </font>
    <font>
      <name val="Calibri"/>
      <b val="1"/>
      <color rgb="00FFFFFF"/>
      <sz val="10"/>
    </font>
    <font>
      <name val="Calibri"/>
      <color rgb="000563C1"/>
      <sz val="8"/>
      <u val="single"/>
    </font>
    <font>
      <b val="1"/>
      <color rgb="001F3864"/>
      <sz val="11"/>
    </font>
  </fonts>
  <fills count="8">
    <fill>
      <patternFill/>
    </fill>
    <fill>
      <patternFill patternType="gray125"/>
    </fill>
    <fill>
      <patternFill patternType="solid">
        <fgColor rgb="FF1F3864"/>
        <bgColor rgb="FF333333"/>
      </patternFill>
    </fill>
    <fill>
      <patternFill patternType="solid">
        <fgColor rgb="FFC6EFCE"/>
        <bgColor rgb="FFCCFFFF"/>
      </patternFill>
    </fill>
    <fill>
      <patternFill patternType="solid">
        <fgColor rgb="FFFFC7CE"/>
        <bgColor rgb="FFFFEB9C"/>
      </patternFill>
    </fill>
    <fill>
      <patternFill patternType="solid">
        <fgColor rgb="FFFFEB9C"/>
        <bgColor rgb="FFFFFFCC"/>
      </patternFill>
    </fill>
    <fill>
      <patternFill patternType="solid">
        <fgColor rgb="FF2E7C7C"/>
        <bgColor rgb="FF008080"/>
      </patternFill>
    </fill>
    <fill>
      <patternFill patternType="solid">
        <fgColor rgb="001F3864"/>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bottom style="thin">
        <color rgb="FFBFBFBF"/>
      </bottom>
      <diagonal/>
    </border>
    <border>
      <left/>
      <right style="thin">
        <color rgb="FFBFBFBF"/>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center" vertical="center" wrapText="1"/>
    </xf>
    <xf numFmtId="0" fontId="7" fillId="0" borderId="1" applyAlignment="1" pivotButton="0" quotePrefix="0" xfId="0">
      <alignment horizontal="center" vertical="top"/>
    </xf>
    <xf numFmtId="0" fontId="7" fillId="0" borderId="1" applyAlignment="1" pivotButton="0" quotePrefix="0" xfId="0">
      <alignment horizontal="left" vertical="top" wrapText="1"/>
    </xf>
    <xf numFmtId="1" fontId="7" fillId="0" borderId="1" applyAlignment="1" pivotButton="0" quotePrefix="0" xfId="0">
      <alignment horizontal="center" vertical="top"/>
    </xf>
    <xf numFmtId="9" fontId="7" fillId="3" borderId="1" applyAlignment="1" pivotButton="0" quotePrefix="0" xfId="0">
      <alignment horizontal="center" vertical="top"/>
    </xf>
    <xf numFmtId="9" fontId="7" fillId="4" borderId="1" applyAlignment="1" pivotButton="0" quotePrefix="0" xfId="0">
      <alignment horizontal="center" vertical="top"/>
    </xf>
    <xf numFmtId="9" fontId="7" fillId="5" borderId="1" applyAlignment="1" pivotButton="0" quotePrefix="0" xfId="0">
      <alignment horizontal="center" vertical="top"/>
    </xf>
    <xf numFmtId="0" fontId="8" fillId="0" borderId="2" applyAlignment="1" pivotButton="0" quotePrefix="0" xfId="0">
      <alignment horizontal="right" vertical="center"/>
    </xf>
    <xf numFmtId="0" fontId="7" fillId="3" borderId="1" applyAlignment="1" pivotButton="0" quotePrefix="0" xfId="0">
      <alignment horizontal="center" vertical="center"/>
    </xf>
    <xf numFmtId="0" fontId="7" fillId="5" borderId="1" applyAlignment="1" pivotButton="0" quotePrefix="0" xfId="0">
      <alignment horizontal="center" vertical="center"/>
    </xf>
    <xf numFmtId="0" fontId="7" fillId="4" borderId="1" applyAlignment="1" pivotButton="0" quotePrefix="0" xfId="0">
      <alignment horizontal="center" vertical="center"/>
    </xf>
    <xf numFmtId="0" fontId="9" fillId="0" borderId="0" applyAlignment="1" pivotButton="0" quotePrefix="0" xfId="0">
      <alignment horizontal="general" vertical="top" wrapText="1"/>
    </xf>
    <xf numFmtId="0" fontId="5" fillId="0" borderId="0" applyAlignment="1" pivotButton="0" quotePrefix="0" xfId="0">
      <alignment horizontal="general" vertical="bottom"/>
    </xf>
    <xf numFmtId="1" fontId="7" fillId="3" borderId="1" applyAlignment="1" pivotButton="0" quotePrefix="0" xfId="0">
      <alignment horizontal="center" vertical="top"/>
    </xf>
    <xf numFmtId="1" fontId="7" fillId="5" borderId="1" applyAlignment="1" pivotButton="0" quotePrefix="0" xfId="0">
      <alignment horizontal="center" vertical="top"/>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top"/>
    </xf>
    <xf numFmtId="0" fontId="11" fillId="0" borderId="0" applyAlignment="1" pivotButton="0" quotePrefix="0" xfId="0">
      <alignment horizontal="general" vertical="top" wrapText="1"/>
    </xf>
    <xf numFmtId="0" fontId="7" fillId="0" borderId="1" applyAlignment="1" pivotButton="0" quotePrefix="0" xfId="0">
      <alignment horizontal="left" vertical="top"/>
    </xf>
    <xf numFmtId="0" fontId="15" fillId="0" borderId="1" applyAlignment="1" pivotButton="0" quotePrefix="0" xfId="0">
      <alignment horizontal="left" vertical="top" wrapText="1"/>
    </xf>
    <xf numFmtId="0" fontId="0" fillId="0" borderId="1" applyAlignment="1" pivotButton="0" quotePrefix="0" xfId="0">
      <alignment horizontal="center" vertical="top"/>
    </xf>
    <xf numFmtId="0" fontId="7" fillId="0" borderId="1" applyAlignment="1" pivotButton="0" quotePrefix="0" xfId="0">
      <alignment horizontal="general" vertical="bottom"/>
    </xf>
    <xf numFmtId="0" fontId="15" fillId="0" borderId="1" applyAlignment="1" pivotButton="0" quotePrefix="0" xfId="0">
      <alignment horizontal="general" vertical="bottom"/>
    </xf>
    <xf numFmtId="0" fontId="5" fillId="0" borderId="0" applyAlignment="1" pivotButton="0" quotePrefix="0" xfId="0">
      <alignment horizontal="general" vertical="center" wrapText="1"/>
    </xf>
    <xf numFmtId="0" fontId="6" fillId="6" borderId="1" applyAlignment="1" pivotButton="0" quotePrefix="0" xfId="0">
      <alignment horizontal="center" vertical="center" wrapText="1"/>
    </xf>
    <xf numFmtId="0" fontId="1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center" vertical="center" wrapText="1"/>
    </xf>
    <xf numFmtId="0" fontId="7" fillId="0" borderId="1" applyAlignment="1" pivotButton="0" quotePrefix="0" xfId="0">
      <alignment horizontal="center" vertical="top"/>
    </xf>
    <xf numFmtId="0" fontId="7" fillId="0" borderId="1" applyAlignment="1" pivotButton="0" quotePrefix="0" xfId="0">
      <alignment horizontal="left" vertical="top" wrapText="1"/>
    </xf>
    <xf numFmtId="1" fontId="7" fillId="0" borderId="1" applyAlignment="1" pivotButton="0" quotePrefix="0" xfId="0">
      <alignment horizontal="center" vertical="top"/>
    </xf>
    <xf numFmtId="9" fontId="7" fillId="3" borderId="1" applyAlignment="1" pivotButton="0" quotePrefix="0" xfId="0">
      <alignment horizontal="center" vertical="top"/>
    </xf>
    <xf numFmtId="9" fontId="7" fillId="4" borderId="1" applyAlignment="1" pivotButton="0" quotePrefix="0" xfId="0">
      <alignment horizontal="center" vertical="top"/>
    </xf>
    <xf numFmtId="9" fontId="7" fillId="5" borderId="1" applyAlignment="1" pivotButton="0" quotePrefix="0" xfId="0">
      <alignment horizontal="center" vertical="top"/>
    </xf>
    <xf numFmtId="0" fontId="8" fillId="0" borderId="2" applyAlignment="1" pivotButton="0" quotePrefix="0" xfId="0">
      <alignment horizontal="right" vertical="center"/>
    </xf>
    <xf numFmtId="0" fontId="0" fillId="0" borderId="2" pivotButton="0" quotePrefix="0" xfId="0"/>
    <xf numFmtId="0" fontId="7" fillId="3" borderId="1" applyAlignment="1" pivotButton="0" quotePrefix="0" xfId="0">
      <alignment horizontal="center" vertical="center"/>
    </xf>
    <xf numFmtId="0" fontId="7" fillId="5" borderId="1" applyAlignment="1" pivotButton="0" quotePrefix="0" xfId="0">
      <alignment horizontal="center" vertical="center"/>
    </xf>
    <xf numFmtId="0" fontId="7" fillId="4" borderId="1" applyAlignment="1" pivotButton="0" quotePrefix="0" xfId="0">
      <alignment horizontal="center" vertical="center"/>
    </xf>
    <xf numFmtId="0" fontId="9" fillId="0" borderId="0" applyAlignment="1" pivotButton="0" quotePrefix="0" xfId="0">
      <alignment horizontal="general" vertical="top" wrapText="1"/>
    </xf>
    <xf numFmtId="0" fontId="5" fillId="0" borderId="0" applyAlignment="1" pivotButton="0" quotePrefix="0" xfId="0">
      <alignment horizontal="general" vertical="bottom"/>
    </xf>
    <xf numFmtId="1" fontId="7" fillId="3" borderId="1" applyAlignment="1" pivotButton="0" quotePrefix="0" xfId="0">
      <alignment horizontal="center" vertical="top"/>
    </xf>
    <xf numFmtId="1" fontId="7" fillId="5" borderId="1" applyAlignment="1" pivotButton="0" quotePrefix="0" xfId="0">
      <alignment horizontal="center" vertical="top"/>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top"/>
    </xf>
    <xf numFmtId="0" fontId="11" fillId="0" borderId="0" applyAlignment="1" pivotButton="0" quotePrefix="0" xfId="0">
      <alignment horizontal="general" vertical="top" wrapText="1"/>
    </xf>
    <xf numFmtId="0" fontId="7" fillId="0" borderId="1" applyAlignment="1" pivotButton="0" quotePrefix="0" xfId="0">
      <alignment horizontal="left" vertical="top"/>
    </xf>
    <xf numFmtId="0" fontId="15" fillId="0" borderId="1" applyAlignment="1" pivotButton="0" quotePrefix="0" xfId="0">
      <alignment horizontal="left" vertical="top" wrapText="1"/>
    </xf>
    <xf numFmtId="0" fontId="0" fillId="0" borderId="1" applyAlignment="1" pivotButton="0" quotePrefix="0" xfId="0">
      <alignment horizontal="center" vertical="top"/>
    </xf>
    <xf numFmtId="0" fontId="7" fillId="0" borderId="1" applyAlignment="1" pivotButton="0" quotePrefix="0" xfId="0">
      <alignment horizontal="general" vertical="bottom"/>
    </xf>
    <xf numFmtId="0" fontId="15" fillId="0" borderId="1" applyAlignment="1" pivotButton="0" quotePrefix="0" xfId="0">
      <alignment horizontal="general" vertical="bottom"/>
    </xf>
    <xf numFmtId="0" fontId="5" fillId="0" borderId="0" applyAlignment="1" pivotButton="0" quotePrefix="0" xfId="0">
      <alignment horizontal="general" vertical="center" wrapText="1"/>
    </xf>
    <xf numFmtId="0" fontId="6" fillId="6" borderId="1" applyAlignment="1" pivotButton="0" quotePrefix="0" xfId="0">
      <alignment horizontal="center" vertical="center" wrapText="1"/>
    </xf>
    <xf numFmtId="0" fontId="16" fillId="0" borderId="0" applyAlignment="1" pivotButton="0" quotePrefix="0" xfId="0">
      <alignment horizontal="general" vertical="top" wrapText="1"/>
    </xf>
    <xf numFmtId="0" fontId="17" fillId="0" borderId="0" pivotButton="0" quotePrefix="0" xfId="0"/>
    <xf numFmtId="0" fontId="18" fillId="0" borderId="0" pivotButton="0" quotePrefix="0" xfId="0"/>
    <xf numFmtId="0" fontId="19" fillId="0" borderId="0" pivotButton="0" quotePrefix="0" xfId="0"/>
    <xf numFmtId="0" fontId="20" fillId="0" borderId="0" applyAlignment="1" pivotButton="0" quotePrefix="0" xfId="0">
      <alignment horizontal="left" vertical="top" wrapText="1"/>
    </xf>
    <xf numFmtId="0" fontId="21" fillId="0" borderId="0" applyAlignment="1" pivotButton="0" quotePrefix="0" xfId="0">
      <alignment vertical="top" wrapText="1"/>
    </xf>
    <xf numFmtId="0" fontId="22" fillId="7" borderId="4" applyAlignment="1" pivotButton="0" quotePrefix="0" xfId="0">
      <alignment horizontal="center" vertical="center" wrapText="1"/>
    </xf>
    <xf numFmtId="0" fontId="21" fillId="0" borderId="4" applyAlignment="1" pivotButton="0" quotePrefix="0" xfId="0">
      <alignment horizontal="center" vertical="top" wrapText="1"/>
    </xf>
    <xf numFmtId="0" fontId="21" fillId="0" borderId="4" applyAlignment="1" pivotButton="0" quotePrefix="0" xfId="0">
      <alignment horizontal="left" vertical="top" wrapText="1"/>
    </xf>
    <xf numFmtId="0" fontId="23" fillId="0" borderId="4" applyAlignment="1" pivotButton="0" quotePrefix="0" xfId="0">
      <alignment horizontal="left" vertical="top" wrapText="1"/>
    </xf>
    <xf numFmtId="0" fontId="24" fillId="0" borderId="0" pivotButton="0" quotePrefix="0" xfId="0"/>
    <xf numFmtId="0" fontId="0" fillId="0" borderId="7" pivotButton="0" quotePrefix="0" xfId="0"/>
    <xf numFmtId="0" fontId="0" fillId="0" borderId="8" pivotButton="0" quotePrefix="0" xfId="0"/>
    <xf numFmtId="0" fontId="0" fillId="0" borderId="4" applyAlignment="1" pivotButton="0" quotePrefix="0" xfId="0">
      <alignment horizontal="center" vertical="top"/>
    </xf>
    <xf numFmtId="0" fontId="21" fillId="0" borderId="4" pivotButton="0" quotePrefix="0" xfId="0"/>
    <xf numFmtId="0" fontId="23" fillId="0" borderId="4" applyAlignment="1" pivotButton="0" quotePrefix="0" xfId="0">
      <alignment vertical="top" wrapText="1"/>
    </xf>
    <xf numFmtId="0" fontId="0" fillId="0" borderId="4"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2E7C7C"/>
      <rgbColor rgb="FF003300"/>
      <rgbColor rgb="FF333300"/>
      <rgbColor rgb="FF964219"/>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hyperlink" Target="https://www.dni.gov/index.php/who-we-are/organizations/mission-integration/nic/nic-related-menus/nic-related-content/nic-publications" TargetMode="External" Id="rId1"/><Relationship Type="http://schemas.openxmlformats.org/officeDocument/2006/relationships/hyperlink" Target="https://www.dni.gov/index.php/who-we-are/organizations/mission-integration/nic/nic-related-menus/nic-related-content/nic-publications" TargetMode="External" Id="rId2"/><Relationship Type="http://schemas.openxmlformats.org/officeDocument/2006/relationships/hyperlink" Target="https://www.dni.gov/index.php/who-we-are/organizations/mission-integration/nic/nic-related-menus/nic-related-content/nic-publications" TargetMode="External" Id="rId3"/><Relationship Type="http://schemas.openxmlformats.org/officeDocument/2006/relationships/hyperlink" Target="https://www.dni.gov/index.php/who-we-are/organizations/mission-integration/nic/nic-related-menus/nic-related-content/nic-publications" TargetMode="External" Id="rId4"/><Relationship Type="http://schemas.openxmlformats.org/officeDocument/2006/relationships/hyperlink" Target="https://www.aibites.press/article/ai-2040-cult-intelligence" TargetMode="External" Id="rId5"/><Relationship Type="http://schemas.openxmlformats.org/officeDocument/2006/relationships/hyperlink" Target="https://www.dni.gov/index.php/who-we-are/organizations/mission-integration/nic/nic-related-menus/nic-related-content/nic-publications" TargetMode="External" Id="rId6"/><Relationship Type="http://schemas.openxmlformats.org/officeDocument/2006/relationships/hyperlink" Target="https://www.dni.gov/index.php/who-we-are/organizations/mission-integration/nic/nic-related-menus/nic-related-content/nic-publications" TargetMode="External" Id="rId7"/><Relationship Type="http://schemas.openxmlformats.org/officeDocument/2006/relationships/hyperlink" Target="https://www.dni.gov/index.php/who-we-are/organizations/mission-integration/nic/nic-related-menus/nic-related-content/nic-publications" TargetMode="External" Id="rId8"/><Relationship Type="http://schemas.openxmlformats.org/officeDocument/2006/relationships/hyperlink" Target="https://www.dni.gov/files/documents/GlobalTrends_2030.pdf" TargetMode="External" Id="rId9"/><Relationship Type="http://schemas.openxmlformats.org/officeDocument/2006/relationships/hyperlink" Target="https://www.dni.gov/files/documents/GlobalTrends_2030.pdf" TargetMode="External" Id="rId10"/><Relationship Type="http://schemas.openxmlformats.org/officeDocument/2006/relationships/hyperlink" Target="https://www.dni.gov/files/documents/GlobalTrends_2030.pdf" TargetMode="External" Id="rId11"/><Relationship Type="http://schemas.openxmlformats.org/officeDocument/2006/relationships/hyperlink" Target="https://www.dni.gov/files/documents/GlobalTrends_2030.pdf" TargetMode="External" Id="rId12"/><Relationship Type="http://schemas.openxmlformats.org/officeDocument/2006/relationships/hyperlink" Target="https://www.dni.gov/index.php/who-we-are/organizations/mission-integration/nic/nic-related-menus/nic-related-content/nic-publications" TargetMode="External" Id="rId13"/><Relationship Type="http://schemas.openxmlformats.org/officeDocument/2006/relationships/hyperlink" Target="https://www.dni.gov/index.php/who-we-are/organizations/mission-integration/nic/nic-related-menus/nic-related-content/nic-publications" TargetMode="External" Id="rId14"/><Relationship Type="http://schemas.openxmlformats.org/officeDocument/2006/relationships/hyperlink" Target="https://www.dni.gov/index.php/who-we-are/organizations/mission-integration/nic/nic-related-menus/nic-related-content/nic-publications" TargetMode="External" Id="rId15"/><Relationship Type="http://schemas.openxmlformats.org/officeDocument/2006/relationships/hyperlink" Target="https://www.dni.gov/index.php/who-we-are/organizations/mission-integration/nic/nic-related-menus/nic-related-content/nic-publications" TargetMode="External" Id="rId16"/><Relationship Type="http://schemas.openxmlformats.org/officeDocument/2006/relationships/hyperlink" Target="https://www.dni.gov/index.php/who-we-are/organizations/mission-integration/nic/nic-related-menus/nic-related-content/nic-publications" TargetMode="External" Id="rId17"/><Relationship Type="http://schemas.openxmlformats.org/officeDocument/2006/relationships/hyperlink" Target="https://www.dni.gov/index.php/who-we-are/organizations/mission-integration/nic/nic-related-menus/nic-related-content/nic-publications" TargetMode="External" Id="rId18"/><Relationship Type="http://schemas.openxmlformats.org/officeDocument/2006/relationships/hyperlink" Target="https://www.dni.gov/index.php/who-we-are/organizations/mission-integration/nic/nic-related-menus/nic-related-content/nic-publications" TargetMode="External" Id="rId19"/><Relationship Type="http://schemas.openxmlformats.org/officeDocument/2006/relationships/hyperlink" Target="https://www.dni.gov/index.php/who-we-are/organizations/mission-integration/nic/nic-related-menus/nic-related-content/nic-publications" TargetMode="External" Id="rId20"/><Relationship Type="http://schemas.openxmlformats.org/officeDocument/2006/relationships/hyperlink" Target="https://www.intelligence.gov" TargetMode="External" Id="rId21"/><Relationship Type="http://schemas.openxmlformats.org/officeDocument/2006/relationships/hyperlink" Target="https://www.dni.gov/index.php/who-we-are/organizations/mission-integration/nic/nic-related-menus/nic-related-content/nic-publications" TargetMode="External" Id="rId22"/><Relationship Type="http://schemas.openxmlformats.org/officeDocument/2006/relationships/hyperlink" Target="https://www.dni.gov/index.php/newsroom/press-releases/press-releases-2026/4142-pr-03-26" TargetMode="External" Id="rId23"/><Relationship Type="http://schemas.openxmlformats.org/officeDocument/2006/relationships/hyperlink" Target="https://www.dni.gov/index.php/newsroom/reports-publications/reports-publications-2026/4141-2026-annual-threat-assessment" TargetMode="External" Id="rId24"/><Relationship Type="http://schemas.openxmlformats.org/officeDocument/2006/relationships/hyperlink" Target="https://www.dni.gov/index.php/newsroom/congressional-testimonies/congressional-testimonies-2025/4061-ata-hpsci-opening-statement-as-delivered" TargetMode="External" Id="rId25"/><Relationship Type="http://schemas.openxmlformats.org/officeDocument/2006/relationships/hyperlink" Target="https://polymarket.com/tl/predictions/taiwan" TargetMode="External" Id="rId26"/><Relationship Type="http://schemas.openxmlformats.org/officeDocument/2006/relationships/hyperlink" Target="https://polymarket.com/event/iran-agrees-to-end-enrichment-of-uranium-by-september-30-20260709004922353" TargetMode="External" Id="rId27"/><Relationship Type="http://schemas.openxmlformats.org/officeDocument/2006/relationships/hyperlink" Target="https://www.csis.org/analysis/wartime-footing-two-front-strategy-confront-china-and-russia" TargetMode="External" Id="rId28"/><Relationship Type="http://schemas.openxmlformats.org/officeDocument/2006/relationships/hyperlink" Target="https://en.wikipedia.org/wiki/Superforecaster" TargetMode="External" Id="rId29"/><Relationship Type="http://schemas.openxmlformats.org/officeDocument/2006/relationships/hyperlink" Target="https://www.aibites.press/article/ai-2040-cult-intelligence" TargetMode="External" Id="rId30"/><Relationship Type="http://schemas.openxmlformats.org/officeDocument/2006/relationships/hyperlink" Target="https://www.intelligence.gov" TargetMode="External" Id="rId31"/><Relationship Type="http://schemas.openxmlformats.org/officeDocument/2006/relationships/hyperlink" Target="https://www.dni.gov/index.php/who-we-are/organizations/mission-integration/nic/nic-related-menus/nic-related-content/nic-publications" TargetMode="External" Id="rId32"/></Relationships>
</file>

<file path=xl/worksheets/sheet1.xml><?xml version="1.0" encoding="utf-8"?>
<worksheet xmlns="http://schemas.openxmlformats.org/spreadsheetml/2006/main">
  <sheetPr filterMode="0">
    <outlinePr summaryBelow="1" summaryRight="1"/>
    <pageSetUpPr fitToPage="1"/>
  </sheetPr>
  <dimension ref="B2:K39"/>
  <sheetViews>
    <sheetView showFormulas="0" showGridLines="1" showRowColHeaders="1" showZeros="1" rightToLeft="0" tabSelected="1"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outlineLevelCol="0"/>
  <cols>
    <col width="2.5" customWidth="1" style="32" min="1" max="1"/>
    <col width="6" customWidth="1" style="32" min="2" max="2"/>
    <col width="42" customWidth="1" style="32" min="3" max="3"/>
    <col width="16" customWidth="1" style="32" min="4" max="4"/>
    <col width="10" customWidth="1" style="32" min="5" max="5"/>
    <col width="12" customWidth="1" style="32" min="6" max="6"/>
    <col width="20" customWidth="1" style="32" min="7" max="7"/>
    <col width="11" customWidth="1" style="32" min="8" max="8"/>
    <col width="60" customWidth="1" style="32" min="9" max="9"/>
    <col width="34" customWidth="1" style="32" min="10" max="11"/>
  </cols>
  <sheetData>
    <row r="2" ht="21.75" customHeight="1" s="33">
      <c r="B2" s="34" t="inlineStr">
        <is>
          <t>Comprehensive Forecast Report — Probability &amp; Timeline</t>
        </is>
      </c>
    </row>
    <row r="3" ht="60" customHeight="1" s="33">
      <c r="B3" s="35" t="inlineStr">
        <is>
          <t>US Intelligence Community future-scenario products (2026+). DISCLAIMER: These are independent analytical estimates applying Tetlock's CHAMP and the Ten Commandments of Superforecasting; they are NOT official U.S. Intelligence Community judgments or certified forecasts. Each estimate is calibrated against base rates, historical trends, expert/market consensus, and models, with predictable biases checked. See the 'Source Inventory &amp; Methodology' tab for full source URLs and verification status.</t>
        </is>
      </c>
    </row>
    <row r="5" ht="23.85" customHeight="1" s="33">
      <c r="B5" s="36" t="inlineStr">
        <is>
          <t>ID</t>
        </is>
      </c>
      <c r="C5" s="36" t="inlineStr">
        <is>
          <t>Forecasted Event (2026+)</t>
        </is>
      </c>
      <c r="D5" s="36" t="inlineStr">
        <is>
          <t>Theme</t>
        </is>
      </c>
      <c r="E5" s="36" t="inlineStr">
        <is>
          <t>Cross-Report Tally</t>
        </is>
      </c>
      <c r="F5" s="36" t="inlineStr">
        <is>
          <t>Probability of Occurrence</t>
        </is>
      </c>
      <c r="G5" s="36" t="inlineStr">
        <is>
          <t>Timeline / Window</t>
        </is>
      </c>
      <c r="H5" s="36" t="inlineStr">
        <is>
          <t>Confidence</t>
        </is>
      </c>
      <c r="I5" s="36" t="inlineStr">
        <is>
          <t>CHAMP Analysis (Comparisons / Historical / Avg opinions / Models / Biases)</t>
        </is>
      </c>
      <c r="J5" s="36" t="inlineStr">
        <is>
          <t>Ten Commandments Applied</t>
        </is>
      </c>
      <c r="K5" s="36" t="inlineStr">
        <is>
          <t>Source Reports (tabs)</t>
        </is>
      </c>
    </row>
    <row r="6" ht="43.25" customHeight="1" s="33">
      <c r="B6" s="37" t="inlineStr">
        <is>
          <t>E1</t>
        </is>
      </c>
      <c r="C6" s="38" t="inlineStr">
        <is>
          <t>US-China strategic competition intensifies across military/economic/tech</t>
        </is>
      </c>
      <c r="D6" s="37" t="inlineStr">
        <is>
          <t>Geopolitics</t>
        </is>
      </c>
      <c r="E6" s="39" t="n">
        <v>6</v>
      </c>
      <c r="F6" s="40" t="n">
        <v>0.85</v>
      </c>
      <c r="G6" s="37" t="inlineStr">
        <is>
          <t>2026-2035 (ongoing)</t>
        </is>
      </c>
      <c r="H6" s="37" t="inlineStr">
        <is>
          <t>High</t>
        </is>
      </c>
      <c r="I6" s="38" t="inlineStr">
        <is>
          <t>Comparisons: rising-power transitions historically feature sustained rivalry (base rate ~90%). Historical: competition intensified every year since 2017. Avg opinions: IC, CSIS, think-tank consensus convergent. Models: power-transition models predict persistent rivalry. Biases: recency/availability may overstate escalation risk.</t>
        </is>
      </c>
      <c r="J6" s="38" t="inlineStr">
        <is>
          <t>#1 Triage (tractable); #3 inside/outside balance; #4 update on summits/tariffs</t>
        </is>
      </c>
      <c r="K6" s="38" t="inlineStr">
        <is>
          <t>2026 ATA (DNI), Global Trends 2040, Global Trends 2035, Global Trends 2030, NIE Gray Zone 2030, NIE Chinese Space 2030</t>
        </is>
      </c>
    </row>
    <row r="7" ht="53.7" customHeight="1" s="33">
      <c r="B7" s="37" t="inlineStr">
        <is>
          <t>E2</t>
        </is>
      </c>
      <c r="C7" s="38" t="inlineStr">
        <is>
          <t>China-Taiwan kinetic conflict (invasion/blockade) by 2030</t>
        </is>
      </c>
      <c r="D7" s="37" t="inlineStr">
        <is>
          <t>Geopolitics</t>
        </is>
      </c>
      <c r="E7" s="39" t="n">
        <v>3</v>
      </c>
      <c r="F7" s="41" t="n">
        <v>0.22</v>
      </c>
      <c r="G7" s="37" t="inlineStr">
        <is>
          <t>2027-2030 (peak window)</t>
        </is>
      </c>
      <c r="H7" s="37" t="inlineStr">
        <is>
          <t>Medium</t>
        </is>
      </c>
      <c r="I7" s="38" t="inlineStr">
        <is>
          <t>Comparisons: amphibious-seizure base rate very low; coercive gray-zone incidents more common. Historical: 1954/58 crises resolved short of invasion. Avg opinions: Polymarket ~4% invasion by end-2026, ~13% by end-2027; CSIS notes PLA 2027 readiness. Models: large capability-vs-intent gap. Biases: alarm/availability inflates near-term odds; IC judges Beijing prefers peaceful route.</t>
        </is>
      </c>
      <c r="J7" s="38" t="inlineStr">
        <is>
          <t>#2 Fermi-ize (capability x intent x window); #5 clashing forces; #7 prudence vs decisiveness</t>
        </is>
      </c>
      <c r="K7" s="38" t="inlineStr">
        <is>
          <t>2026 ATA (DNI), Global Trends 2040, Global Trends 2030</t>
        </is>
      </c>
    </row>
    <row r="8" ht="53.7" customHeight="1" s="33">
      <c r="B8" s="37" t="inlineStr">
        <is>
          <t>E3</t>
        </is>
      </c>
      <c r="C8" s="38" t="inlineStr">
        <is>
          <t>Homeland missile threat expands to &gt;16,000 missiles by 2035 (from ~3,000)</t>
        </is>
      </c>
      <c r="D8" s="37" t="inlineStr">
        <is>
          <t>WMD / Missiles</t>
        </is>
      </c>
      <c r="E8" s="39" t="n">
        <v>1</v>
      </c>
      <c r="F8" s="42" t="n">
        <v>0.7</v>
      </c>
      <c r="G8" s="37" t="inlineStr">
        <is>
          <t>by 2035</t>
        </is>
      </c>
      <c r="H8" s="37" t="inlineStr">
        <is>
          <t>Medium</t>
        </is>
      </c>
      <c r="I8" s="38" t="inlineStr">
        <is>
          <t>Comparisons: arsenal growth across 5 states on multi-decade upward base rate. Historical: ~3,000 today; 5x in ~9 years aggressive but plausible given NK/Iran/China expansion. Avg opinions: IC own forecast; independent models similar. Models: inventory extrapolation + new-range testing. Biases: IC may anchor upward to show budget urgency.</t>
        </is>
      </c>
      <c r="J8" s="38" t="inlineStr">
        <is>
          <t>#3 outside view (arsenal-growth base rate); #6 distinguish degrees of doubt</t>
        </is>
      </c>
      <c r="K8" s="38" t="inlineStr">
        <is>
          <t>2026 ATA (DNI)</t>
        </is>
      </c>
    </row>
    <row r="9" ht="53.7" customHeight="1" s="33">
      <c r="B9" s="37" t="inlineStr">
        <is>
          <t>E4</t>
        </is>
      </c>
      <c r="C9" s="38" t="inlineStr">
        <is>
          <t>Iran develops a militarily viable ICBM before 2035</t>
        </is>
      </c>
      <c r="D9" s="37" t="inlineStr">
        <is>
          <t>WMD / Missiles</t>
        </is>
      </c>
      <c r="E9" s="39" t="n">
        <v>2</v>
      </c>
      <c r="F9" s="41" t="n">
        <v>0.25</v>
      </c>
      <c r="G9" s="37" t="inlineStr">
        <is>
          <t>2030-2035</t>
        </is>
      </c>
      <c r="H9" s="37" t="inlineStr">
        <is>
          <t>Low</t>
        </is>
      </c>
      <c r="I9" s="38" t="inlineStr">
        <is>
          <t>Comparisons: states with space-launch tech occasionally cross to ICBM; base rate moderate over long horizons. Historical: Iran's missile program degraded by 2026 strikes (Op. Epic Fury/Midnight Hammer). Avg opinions: low near-term post-strike; long-term uncertain. Models: recovery timelines + dual-use space-launch. Biases: pre-strike threat availability inflated prior odds.</t>
        </is>
      </c>
      <c r="J9" s="38" t="inlineStr">
        <is>
          <t>#4 update on strike-damage assessment; #8 postmortem on prior overestimates</t>
        </is>
      </c>
      <c r="K9" s="38" t="inlineStr">
        <is>
          <t>2026 ATA (DNI), NICA Iran Transition</t>
        </is>
      </c>
    </row>
    <row r="10" ht="64.15000000000001" customHeight="1" s="33">
      <c r="B10" s="37" t="inlineStr">
        <is>
          <t>E5</t>
        </is>
      </c>
      <c r="C10" s="38" t="inlineStr">
        <is>
          <t>Iran reconstitutes/advances a nuclear weapons program by 2030</t>
        </is>
      </c>
      <c r="D10" s="37" t="inlineStr">
        <is>
          <t>WMD</t>
        </is>
      </c>
      <c r="E10" s="39" t="n">
        <v>2</v>
      </c>
      <c r="F10" s="41" t="n">
        <v>0.3</v>
      </c>
      <c r="G10" s="37" t="inlineStr">
        <is>
          <t>2028-2032</t>
        </is>
      </c>
      <c r="H10" s="37" t="inlineStr">
        <is>
          <t>Low</t>
        </is>
      </c>
      <c r="I10" s="38" t="inlineStr">
        <is>
          <t>Comparisons: states that paused weapons programs rarely restart within a decade absent regime/survival threat; base rate low-moderate. Historical: suspended 2003; enrichment set back by 2026 strikes; taboo eroding. Avg opinions: Polymarket deal/enrichment markets imply low near-term weaponization. Models: breakout-time + post-strike recovery. Biases: threat-inflation bias; recency of strikes may underweight long-run risk.</t>
        </is>
      </c>
      <c r="J10" s="38" t="inlineStr">
        <is>
          <t>#3 inside/outside balance; #5 clashing forces (deterrence vs breakout)</t>
        </is>
      </c>
      <c r="K10" s="38" t="inlineStr">
        <is>
          <t>2026 ATA (DNI), NICA Iran Transition</t>
        </is>
      </c>
    </row>
    <row r="11" ht="53.7" customHeight="1" s="33">
      <c r="B11" s="37" t="inlineStr">
        <is>
          <t>E6</t>
        </is>
      </c>
      <c r="C11" s="38" t="inlineStr">
        <is>
          <t>China &amp; Russia field operational counterspace/ASAT capabilities by 2030</t>
        </is>
      </c>
      <c r="D11" s="37" t="inlineStr">
        <is>
          <t>Space</t>
        </is>
      </c>
      <c r="E11" s="39" t="n">
        <v>2</v>
      </c>
      <c r="F11" s="40" t="n">
        <v>0.8</v>
      </c>
      <c r="G11" s="37" t="inlineStr">
        <is>
          <t>2026-2030</t>
        </is>
      </c>
      <c r="H11" s="37" t="inlineStr">
        <is>
          <t>Medium</t>
        </is>
      </c>
      <c r="I11" s="38" t="inlineStr">
        <is>
          <t>Comparisons: counterspace R&amp;D base rate high; nuclear-ASAT deployment unprecedented (low base rate, ~30%). Historical: both already tested ASAT (China 2007; Russia). Avg opinions: IC + open-source converge. Models: dual-use satellite proliferation. Biases: sensationalism around nuclear-ASAT may inflate deployment vs R&amp;D odds.</t>
        </is>
      </c>
      <c r="J11" s="38" t="inlineStr">
        <is>
          <t>#2 decompose (ASAT vs nuclear-ASAT); #6 granularity</t>
        </is>
      </c>
      <c r="K11" s="38" t="inlineStr">
        <is>
          <t>2026 ATA (DNI), NIE Chinese Space 2030</t>
        </is>
      </c>
    </row>
    <row r="12" ht="43.25" customHeight="1" s="33">
      <c r="B12" s="37" t="inlineStr">
        <is>
          <t>E7</t>
        </is>
      </c>
      <c r="C12" s="38" t="inlineStr">
        <is>
          <t>Nuclear proliferation grows (more warheads / new states) by 2030</t>
        </is>
      </c>
      <c r="D12" s="37" t="inlineStr">
        <is>
          <t>WMD</t>
        </is>
      </c>
      <c r="E12" s="39" t="n">
        <v>3</v>
      </c>
      <c r="F12" s="42" t="n">
        <v>0.7</v>
      </c>
      <c r="G12" s="37" t="inlineStr">
        <is>
          <t>by 2030</t>
        </is>
      </c>
      <c r="H12" s="37" t="inlineStr">
        <is>
          <t>Medium</t>
        </is>
      </c>
      <c r="I12" s="38" t="inlineStr">
        <is>
          <t>Comparisons: post-Cold War trend = more warheads in China/NK/Pakistan/India; new-state proliferation rarer. Historical: Asian arsenals expanding. Avg opinions: IC + CNS data convergent. Models: arsenal-growth curves. Biases: 'cascade' fears historically over-predicted new states.</t>
        </is>
      </c>
      <c r="J12" s="38" t="inlineStr">
        <is>
          <t>#1 Triage; #3 outside view (new-proliferator base rate)</t>
        </is>
      </c>
      <c r="K12" s="38" t="inlineStr">
        <is>
          <t>2026 ATA (DNI), Global Trends 2030, NIE North Korea Nuclear</t>
        </is>
      </c>
    </row>
    <row r="13" ht="32.8" customHeight="1" s="33">
      <c r="B13" s="37" t="inlineStr">
        <is>
          <t>E8</t>
        </is>
      </c>
      <c r="C13" s="38" t="inlineStr">
        <is>
          <t>North Korea expands warhead stockpile + missiles evading defenses</t>
        </is>
      </c>
      <c r="D13" s="37" t="inlineStr">
        <is>
          <t>WMD</t>
        </is>
      </c>
      <c r="E13" s="39" t="n">
        <v>2</v>
      </c>
      <c r="F13" s="40" t="n">
        <v>0.9</v>
      </c>
      <c r="G13" s="37" t="inlineStr">
        <is>
          <t>2026-2030</t>
        </is>
      </c>
      <c r="H13" s="37" t="inlineStr">
        <is>
          <t>High</t>
        </is>
      </c>
      <c r="I13" s="38" t="inlineStr">
        <is>
          <t>Comparisons: NK has expanded arsenal every year; base rate near-certain. Historical: uninterrupted growth since 2006. Avg opinions: IC, IISS, SIPRI convergent. Models: production-rate extrapolation. Biases: very low; high-confidence trend.</t>
        </is>
      </c>
      <c r="J13" s="38" t="inlineStr">
        <is>
          <t>#6 granularity; #8 keep score on prior NK forecasts</t>
        </is>
      </c>
      <c r="K13" s="38" t="inlineStr">
        <is>
          <t>2026 ATA (DNI), NIE North Korea Nuclear</t>
        </is>
      </c>
    </row>
    <row r="14" ht="43.25" customHeight="1" s="33">
      <c r="B14" s="37" t="inlineStr">
        <is>
          <t>E9</t>
        </is>
      </c>
      <c r="C14" s="38" t="inlineStr">
        <is>
          <t>Armed conflict becomes more common globally through 2030</t>
        </is>
      </c>
      <c r="D14" s="37" t="inlineStr">
        <is>
          <t>Conflict</t>
        </is>
      </c>
      <c r="E14" s="39" t="n">
        <v>4</v>
      </c>
      <c r="F14" s="42" t="n">
        <v>0.75</v>
      </c>
      <c r="G14" s="37" t="inlineStr">
        <is>
          <t>2026-2030</t>
        </is>
      </c>
      <c r="H14" s="37" t="inlineStr">
        <is>
          <t>Medium</t>
        </is>
      </c>
      <c r="I14" s="38" t="inlineStr">
        <is>
          <t>Comparisons: conflict-incidence rising since 2010 trough; base rate of sustained elevation moderate-high. Historical: UCDP data upward since ~2010. Avg opinions: IC + PRIO convergent. Models: state-fragility indices. Biases: availability (Ukraine/Gaza) may overstate global rate.</t>
        </is>
      </c>
      <c r="J14" s="38" t="inlineStr">
        <is>
          <t>#3 outside view (long-run conflict base rates); #4 update</t>
        </is>
      </c>
      <c r="K14" s="38" t="inlineStr">
        <is>
          <t>2026 ATA (DNI), Global Trends 2030, NIE Gray Zone 2030, NIE Afghanistan Taliban</t>
        </is>
      </c>
    </row>
    <row r="15" ht="32.8" customHeight="1" s="33">
      <c r="B15" s="37" t="inlineStr">
        <is>
          <t>E10</t>
        </is>
      </c>
      <c r="C15" s="38" t="inlineStr">
        <is>
          <t>Cyberattacks on US government &amp; critical infrastructure</t>
        </is>
      </c>
      <c r="D15" s="37" t="inlineStr">
        <is>
          <t>Cyber</t>
        </is>
      </c>
      <c r="E15" s="39" t="n">
        <v>2</v>
      </c>
      <c r="F15" s="40" t="n">
        <v>0.95</v>
      </c>
      <c r="G15" s="37" t="inlineStr">
        <is>
          <t>2026-2027 (ongoing)</t>
        </is>
      </c>
      <c r="H15" s="37" t="inlineStr">
        <is>
          <t>High</t>
        </is>
      </c>
      <c r="I15" s="38" t="inlineStr">
        <is>
          <t>Comparisons: near-certain ongoing; annual base rate ~100%. Historical: every year has major intrusions (Salt Typhoon, Microsoft hack). Avg opinions: universal. Models: attacker-defender asymmetry favors persistence. Biases: none significant.</t>
        </is>
      </c>
      <c r="J15" s="38" t="inlineStr">
        <is>
          <t>#6 distinguish degrees (routine vs catastrophic)</t>
        </is>
      </c>
      <c r="K15" s="38" t="inlineStr">
        <is>
          <t>2026 ATA (DNI), Global Trends 2040</t>
        </is>
      </c>
    </row>
    <row r="16" ht="32.8" customHeight="1" s="33">
      <c r="B16" s="37" t="inlineStr">
        <is>
          <t>E11</t>
        </is>
      </c>
      <c r="C16" s="38" t="inlineStr">
        <is>
          <t>International order fragments / multilateralism declines by 2035</t>
        </is>
      </c>
      <c r="D16" s="37" t="inlineStr">
        <is>
          <t>Order</t>
        </is>
      </c>
      <c r="E16" s="39" t="n">
        <v>5</v>
      </c>
      <c r="F16" s="42" t="n">
        <v>0.7</v>
      </c>
      <c r="G16" s="37" t="inlineStr">
        <is>
          <t>2026-2035</t>
        </is>
      </c>
      <c r="H16" s="37" t="inlineStr">
        <is>
          <t>Medium</t>
        </is>
      </c>
      <c r="I16" s="38" t="inlineStr">
        <is>
          <t>Comparisons: hegemonic-order erosion historically gradual, not cliff. Historical: UN/WTO strain since 2010s. Avg opinions: IC scenarios + think-tank consensus. Models: polarity/fragmentation indices. Biases: declinism may overstate; institutions resilient.</t>
        </is>
      </c>
      <c r="J16" s="38" t="inlineStr">
        <is>
          <t>#3 outside view; #5 clashing forces (integration vs fragmentation)</t>
        </is>
      </c>
      <c r="K16" s="38" t="inlineStr">
        <is>
          <t>Global Trends 2040, Global Trends 2035, Global Trends 2030, NIE Gray Zone 2030, 2026 ATA (DNI)</t>
        </is>
      </c>
    </row>
    <row r="17" ht="32.8" customHeight="1" s="33">
      <c r="B17" s="37" t="inlineStr">
        <is>
          <t>E12</t>
        </is>
      </c>
      <c r="C17" s="38" t="inlineStr">
        <is>
          <t>Climate strains food/water/energy + drives migration by 2035</t>
        </is>
      </c>
      <c r="D17" s="37" t="inlineStr">
        <is>
          <t>Climate</t>
        </is>
      </c>
      <c r="E17" s="39" t="n">
        <v>3</v>
      </c>
      <c r="F17" s="40" t="n">
        <v>0.85</v>
      </c>
      <c r="G17" s="37" t="inlineStr">
        <is>
          <t>2026-2035</t>
        </is>
      </c>
      <c r="H17" s="37" t="inlineStr">
        <is>
          <t>High</t>
        </is>
      </c>
      <c r="I17" s="38" t="inlineStr">
        <is>
          <t>Comparisons: climate-impact attribution rising; worsening near-certain. Historical: each year sets new extremes. Avg opinions: IPCC + IC convergent. Models: climate-impact + migration models. Biases: optimism bias on adaptation may understate harm.</t>
        </is>
      </c>
      <c r="J17" s="38" t="inlineStr">
        <is>
          <t>#4 update on emissions trajectory; #7 calibration</t>
        </is>
      </c>
      <c r="K17" s="38" t="inlineStr">
        <is>
          <t>Global Trends 2040, Global Trends 2030, NIE Climate Change</t>
        </is>
      </c>
    </row>
    <row r="18" ht="32.8" customHeight="1" s="33">
      <c r="B18" s="37" t="inlineStr">
        <is>
          <t>E13</t>
        </is>
      </c>
      <c r="C18" s="38" t="inlineStr">
        <is>
          <t>Demographic divergence continues (aging rich vs youthful developing)</t>
        </is>
      </c>
      <c r="D18" s="37" t="inlineStr">
        <is>
          <t>Demographics</t>
        </is>
      </c>
      <c r="E18" s="39" t="n">
        <v>2</v>
      </c>
      <c r="F18" s="40" t="n">
        <v>0.95</v>
      </c>
      <c r="G18" s="37" t="inlineStr">
        <is>
          <t>2026-2040</t>
        </is>
      </c>
      <c r="H18" s="37" t="inlineStr">
        <is>
          <t>High</t>
        </is>
      </c>
      <c r="I18" s="38" t="inlineStr">
        <is>
          <t>Comparisons: demographic transitions slow and near-deterministic. Historical: aging West/Japan/Korea; youthful Africa. Avg opinions: UN WPP convergent. Models: cohort accounting. Biases: very low; high confidence.</t>
        </is>
      </c>
      <c r="J18" s="38" t="inlineStr">
        <is>
          <t>#1 Triage (near-clock-like)</t>
        </is>
      </c>
      <c r="K18" s="38" t="inlineStr">
        <is>
          <t>Global Trends 2040, Global Trends 2030</t>
        </is>
      </c>
    </row>
    <row r="19" ht="43.25" customHeight="1" s="33">
      <c r="B19" s="37" t="inlineStr">
        <is>
          <t>E14</t>
        </is>
      </c>
      <c r="C19" s="38" t="inlineStr">
        <is>
          <t>AI / emerging-tech disruption reshapes economy, governance, military by 2035</t>
        </is>
      </c>
      <c r="D19" s="37" t="inlineStr">
        <is>
          <t>Technology</t>
        </is>
      </c>
      <c r="E19" s="39" t="n">
        <v>2</v>
      </c>
      <c r="F19" s="40" t="n">
        <v>0.85</v>
      </c>
      <c r="G19" s="37" t="inlineStr">
        <is>
          <t>2026-2035</t>
        </is>
      </c>
      <c r="H19" s="37" t="inlineStr">
        <is>
          <t>Medium</t>
        </is>
      </c>
      <c r="I19" s="38" t="inlineStr">
        <is>
          <t>Comparisons: general-purpose-tech adoption base rate high; transformative-timeline uncertainty high. Historical: prior GPTs restructure economies over 1-2 decades. Avg opinions: broad consensus on impact, split on timeline. Models: capability-scaling curves. Biases: hype/optimism may overstate near-term; underweight adoption lags.</t>
        </is>
      </c>
      <c r="J19" s="38" t="inlineStr">
        <is>
          <t>#2 Fermi-ize (capability x deployment x regulation); #4 update on capability jumps</t>
        </is>
      </c>
      <c r="K19" s="38" t="inlineStr">
        <is>
          <t>Global Trends 2040, 2026 ATA (DNI)</t>
        </is>
      </c>
    </row>
    <row r="20" ht="32.8" customHeight="1" s="33">
      <c r="B20" s="37" t="inlineStr">
        <is>
          <t>E15</t>
        </is>
      </c>
      <c r="C20" s="38" t="inlineStr">
        <is>
          <t>Societal fragmentation / governance erosion by 2035</t>
        </is>
      </c>
      <c r="D20" s="37" t="inlineStr">
        <is>
          <t>Society</t>
        </is>
      </c>
      <c r="E20" s="39" t="n">
        <v>3</v>
      </c>
      <c r="F20" s="42" t="n">
        <v>0.65</v>
      </c>
      <c r="G20" s="37" t="inlineStr">
        <is>
          <t>2026-2035</t>
        </is>
      </c>
      <c r="H20" s="37" t="inlineStr">
        <is>
          <t>Low</t>
        </is>
      </c>
      <c r="I20" s="38" t="inlineStr">
        <is>
          <t>Comparisons: polarization indices elevated but not monotonic. Historical: 2010s-2020s rise. Avg opinions: mixed. Models: polarization/inequality models. Biases: negativity bias; cycles exist.</t>
        </is>
      </c>
      <c r="J20" s="38" t="inlineStr">
        <is>
          <t>#5 clashing forces; #6 granularity</t>
        </is>
      </c>
      <c r="K20" s="38" t="inlineStr">
        <is>
          <t>Global Trends 2040, Global Trends 2030, Global Trends 2035</t>
        </is>
      </c>
    </row>
    <row r="21" ht="32.8" customHeight="1" s="33">
      <c r="B21" s="37" t="inlineStr">
        <is>
          <t>E16</t>
        </is>
      </c>
      <c r="C21" s="38" t="inlineStr">
        <is>
          <t>Major global crisis triggers unprecedented cooperation by 2040</t>
        </is>
      </c>
      <c r="D21" s="37" t="inlineStr">
        <is>
          <t>Scenario</t>
        </is>
      </c>
      <c r="E21" s="39" t="n">
        <v>1</v>
      </c>
      <c r="F21" s="41" t="n">
        <v>0.3</v>
      </c>
      <c r="G21" s="37" t="inlineStr">
        <is>
          <t>2028-2040 (if trigger)</t>
        </is>
      </c>
      <c r="H21" s="37" t="inlineStr">
        <is>
          <t>Low</t>
        </is>
      </c>
      <c r="I21" s="38" t="inlineStr">
        <is>
          <t>Comparisons: crises (COVID, 9/11) produced brief cooperation then reversion; sustained cooperation rare. Historical: mobilization fades. Avg opinions: low. Models: collective-action theory. Biases: optimism bias may inflate.</t>
        </is>
      </c>
      <c r="J21" s="38" t="inlineStr">
        <is>
          <t>#3 outside view (base rate of sustained cooperation); #7 prudence</t>
        </is>
      </c>
      <c r="K21" s="38" t="inlineStr">
        <is>
          <t>Global Trends 2040</t>
        </is>
      </c>
    </row>
    <row r="22" ht="43.25" customHeight="1" s="33">
      <c r="B22" s="37" t="inlineStr">
        <is>
          <t>E17</t>
        </is>
      </c>
      <c r="C22" s="38" t="inlineStr">
        <is>
          <t>Pandemic / biosecurity event in the next decade</t>
        </is>
      </c>
      <c r="D22" s="37" t="inlineStr">
        <is>
          <t>Health</t>
        </is>
      </c>
      <c r="E22" s="39" t="n">
        <v>3</v>
      </c>
      <c r="F22" s="41" t="n">
        <v>0.45</v>
      </c>
      <c r="G22" s="37" t="inlineStr">
        <is>
          <t>2026-2036</t>
        </is>
      </c>
      <c r="H22" s="37" t="inlineStr">
        <is>
          <t>Medium</t>
        </is>
      </c>
      <c r="I22" s="38" t="inlineStr">
        <is>
          <t>Comparisons: severe-pandemic base rate ~30-50% per decade per epidemiology literature. Historical: 1918, 1957, 1968, 2009, 2020. Avg opinions: epidemiologists ~30-50%/decade. Models: epidemic forecasting. Biases: recency of COVID may inflate near-term; preparedness may lower.</t>
        </is>
      </c>
      <c r="J22" s="38" t="inlineStr">
        <is>
          <t>#3 outside view (base rate); #4 update on bio-surveillance</t>
        </is>
      </c>
      <c r="K22" s="38" t="inlineStr">
        <is>
          <t>NIE Health Security, NIE COVID Through 2026, Global Trends 2040</t>
        </is>
      </c>
    </row>
    <row r="23" ht="32.8" customHeight="1" s="33">
      <c r="B23" s="37" t="inlineStr">
        <is>
          <t>E18</t>
        </is>
      </c>
      <c r="C23" s="38" t="inlineStr">
        <is>
          <t>US-led democracies renew and surge by 2040</t>
        </is>
      </c>
      <c r="D23" s="37" t="inlineStr">
        <is>
          <t>Scenario</t>
        </is>
      </c>
      <c r="E23" s="39" t="n">
        <v>1</v>
      </c>
      <c r="F23" s="41" t="n">
        <v>0.25</v>
      </c>
      <c r="G23" s="37" t="inlineStr">
        <is>
          <t>2030-2040</t>
        </is>
      </c>
      <c r="H23" s="37" t="inlineStr">
        <is>
          <t>Low</t>
        </is>
      </c>
      <c r="I23" s="38" t="inlineStr">
        <is>
          <t>Comparisons: democratic-renewal episodes rare; base rate low. Historical: democratic backsliding trend 2015-2025. Avg opinions: V-Dem shows decline. Models: governance indices. Biases: optimism bias may inflate.</t>
        </is>
      </c>
      <c r="J23" s="38" t="inlineStr">
        <is>
          <t>#7 prudence vs decisiveness; #8 postmortem</t>
        </is>
      </c>
      <c r="K23" s="38" t="inlineStr">
        <is>
          <t>Global Trends 2040</t>
        </is>
      </c>
    </row>
    <row r="24" ht="32.8" customHeight="1" s="33">
      <c r="B24" s="37" t="inlineStr">
        <is>
          <t>E19</t>
        </is>
      </c>
      <c r="C24" s="38" t="inlineStr">
        <is>
          <t>Non-state actors lead on global challenges by 2035</t>
        </is>
      </c>
      <c r="D24" s="37" t="inlineStr">
        <is>
          <t>Order</t>
        </is>
      </c>
      <c r="E24" s="39" t="n">
        <v>3</v>
      </c>
      <c r="F24" s="41" t="n">
        <v>0.35</v>
      </c>
      <c r="G24" s="37" t="inlineStr">
        <is>
          <t>2030-2035</t>
        </is>
      </c>
      <c r="H24" s="37" t="inlineStr">
        <is>
          <t>Low</t>
        </is>
      </c>
      <c r="I24" s="38" t="inlineStr">
        <is>
          <t>Comparisons: non-state influence rising but states retain primacy; full leadership rare. Historical: tech firms/NGOs gained influence. Avg opinions: mixed. Models: power-diffusion models. Biases: tech-optimism bias.</t>
        </is>
      </c>
      <c r="J24" s="38" t="inlineStr">
        <is>
          <t>#5 clashing forces; #6 granularity</t>
        </is>
      </c>
      <c r="K24" s="38" t="inlineStr">
        <is>
          <t>Global Trends 2030, Global Trends 2035, 2026 ATA (DNI)</t>
        </is>
      </c>
    </row>
    <row r="25" ht="32.8" customHeight="1" s="33">
      <c r="B25" s="37" t="inlineStr">
        <is>
          <t>E20</t>
        </is>
      </c>
      <c r="C25" s="38" t="inlineStr">
        <is>
          <t>US-China managed/stabilized competition by 2035</t>
        </is>
      </c>
      <c r="D25" s="37" t="inlineStr">
        <is>
          <t>Scenario</t>
        </is>
      </c>
      <c r="E25" s="39" t="n">
        <v>2</v>
      </c>
      <c r="F25" s="41" t="n">
        <v>0.4</v>
      </c>
      <c r="G25" s="37" t="inlineStr">
        <is>
          <t>2030-2035</t>
        </is>
      </c>
      <c r="H25" s="37" t="inlineStr">
        <is>
          <t>Low</t>
        </is>
      </c>
      <c r="I25" s="38" t="inlineStr">
        <is>
          <t>Comparisons: cold-war-style managed rivalry has precedent; durable stabilization moderate. Historical: US-Soviet competition stabilized. Avg opinions: moderate. Models: deterrence-stability. Biases: optimism bias.</t>
        </is>
      </c>
      <c r="J25" s="38" t="inlineStr">
        <is>
          <t>#3 outside view (rivalry-management base rate); #4 update</t>
        </is>
      </c>
      <c r="K25" s="38" t="inlineStr">
        <is>
          <t>Global Trends 2030, Global Trends 2040</t>
        </is>
      </c>
    </row>
    <row r="26" ht="32.8" customHeight="1" s="33">
      <c r="B26" s="37" t="inlineStr">
        <is>
          <t>E21</t>
        </is>
      </c>
      <c r="C26" s="38" t="inlineStr">
        <is>
          <t>Russia becomes more reliant on asymmetric + China by 2030</t>
        </is>
      </c>
      <c r="D26" s="37" t="inlineStr">
        <is>
          <t>Geopolitics</t>
        </is>
      </c>
      <c r="E26" s="39" t="n">
        <v>1</v>
      </c>
      <c r="F26" s="40" t="n">
        <v>0.85</v>
      </c>
      <c r="G26" s="37" t="inlineStr">
        <is>
          <t>2026-2030</t>
        </is>
      </c>
      <c r="H26" s="37" t="inlineStr">
        <is>
          <t>High</t>
        </is>
      </c>
      <c r="I26" s="38" t="inlineStr">
        <is>
          <t>Comparisons: post-2022 Russia structurally constrained; asymmetric reliance base rate high. Historical: increasing since 2022. Avg opinions: IC + think-tank convergent. Models: force-reconstitution timelines. Biases: low.</t>
        </is>
      </c>
      <c r="J26" s="38" t="inlineStr">
        <is>
          <t>#3 outside view; #4 update on Ukraine outcome</t>
        </is>
      </c>
      <c r="K26" s="38" t="inlineStr">
        <is>
          <t>2026 ATA (DNI)</t>
        </is>
      </c>
    </row>
    <row r="27" ht="22.35" customHeight="1" s="33">
      <c r="B27" s="37" t="inlineStr">
        <is>
          <t>E22</t>
        </is>
      </c>
      <c r="C27" s="38" t="inlineStr">
        <is>
          <t>African conflicts persist through 2026+</t>
        </is>
      </c>
      <c r="D27" s="37" t="inlineStr">
        <is>
          <t>Conflict</t>
        </is>
      </c>
      <c r="E27" s="39" t="n">
        <v>1</v>
      </c>
      <c r="F27" s="40" t="n">
        <v>0.9</v>
      </c>
      <c r="G27" s="37" t="inlineStr">
        <is>
          <t>2026-2030</t>
        </is>
      </c>
      <c r="H27" s="37" t="inlineStr">
        <is>
          <t>High</t>
        </is>
      </c>
      <c r="I27" s="38" t="inlineStr">
        <is>
          <t>Comparisons: African conflict-persistence base rate high. Historical: decades of chronic conflict. Avg opinions: IC + ACLED convergent. Models: fragility indices. Biases: low.</t>
        </is>
      </c>
      <c r="J27" s="38" t="inlineStr">
        <is>
          <t>#1 Triage; #3 outside view</t>
        </is>
      </c>
      <c r="K27" s="38" t="inlineStr">
        <is>
          <t>2026 ATA (DNI)</t>
        </is>
      </c>
    </row>
    <row r="28" ht="43.25" customHeight="1" s="33">
      <c r="B28" s="37" t="inlineStr">
        <is>
          <t>E23</t>
        </is>
      </c>
      <c r="C28" s="38" t="inlineStr">
        <is>
          <t>Fentanyl/overdose deaths continue declining through 2027</t>
        </is>
      </c>
      <c r="D28" s="37" t="inlineStr">
        <is>
          <t>Crime / Health</t>
        </is>
      </c>
      <c r="E28" s="39" t="n">
        <v>1</v>
      </c>
      <c r="F28" s="42" t="n">
        <v>0.55</v>
      </c>
      <c r="G28" s="37" t="inlineStr">
        <is>
          <t>2026-2027</t>
        </is>
      </c>
      <c r="H28" s="37" t="inlineStr">
        <is>
          <t>Low</t>
        </is>
      </c>
      <c r="I28" s="38" t="inlineStr">
        <is>
          <t>Comparisons: drug-overdose mortality rarely declines sustainably; recent 30% drop notable but fragile. Historical: fentanyl waves peaked ~2023. Avg opinions: mixed on durability. Models: supply-demand + precursor controls. Biases: policy-credit bias may inflate durability.</t>
        </is>
      </c>
      <c r="J28" s="38" t="inlineStr">
        <is>
          <t>#4 update on supply-chain data; #7 calibration</t>
        </is>
      </c>
      <c r="K28" s="38" t="inlineStr">
        <is>
          <t>2026 ATA (DNI)</t>
        </is>
      </c>
    </row>
    <row r="29" ht="32.8" customHeight="1" s="33">
      <c r="B29" s="37" t="inlineStr">
        <is>
          <t>E24</t>
        </is>
      </c>
      <c r="C29" s="38" t="inlineStr">
        <is>
          <t>Illegal border encounters remain sharply reduced through 2027</t>
        </is>
      </c>
      <c r="D29" s="37" t="inlineStr">
        <is>
          <t>Border</t>
        </is>
      </c>
      <c r="E29" s="39" t="n">
        <v>1</v>
      </c>
      <c r="F29" s="42" t="n">
        <v>0.6</v>
      </c>
      <c r="G29" s="37" t="inlineStr">
        <is>
          <t>2026-2027</t>
        </is>
      </c>
      <c r="H29" s="37" t="inlineStr">
        <is>
          <t>Low</t>
        </is>
      </c>
      <c r="I29" s="38" t="inlineStr">
        <is>
          <t>Comparisons: enforcement-driven reductions sustainable while policy holds; reversal risk with administration change. Historical: large swings by administration. Avg opinions: policy-dependent. Models: deterrence models. Biases: policy-credit bias.</t>
        </is>
      </c>
      <c r="J29" s="38" t="inlineStr">
        <is>
          <t>#4 update on policy; #5 clashing forces</t>
        </is>
      </c>
      <c r="K29" s="38" t="inlineStr">
        <is>
          <t>2026 ATA (DNI)</t>
        </is>
      </c>
    </row>
    <row r="30" ht="32.8" customHeight="1" s="33">
      <c r="B30" s="37" t="inlineStr">
        <is>
          <t>E25</t>
        </is>
      </c>
      <c r="C30" s="38" t="inlineStr">
        <is>
          <t>Transnational Islamist terrorism persists (below peak) through 2030</t>
        </is>
      </c>
      <c r="D30" s="37" t="inlineStr">
        <is>
          <t>Terrorism</t>
        </is>
      </c>
      <c r="E30" s="39" t="n">
        <v>2</v>
      </c>
      <c r="F30" s="40" t="n">
        <v>0.8</v>
      </c>
      <c r="G30" s="37" t="inlineStr">
        <is>
          <t>2026-2030</t>
        </is>
      </c>
      <c r="H30" s="37" t="inlineStr">
        <is>
          <t>Medium</t>
        </is>
      </c>
      <c r="I30" s="38" t="inlineStr">
        <is>
          <t>Comparisons: jihadist insurgency-persistence base rate high; mass-casualty attacks rarer post-territorial-loss. Historical: persistent since 2001. Avg opinions: IC convergent. Models: terrorism-incidence. Biases: availability bias (recent attacks).</t>
        </is>
      </c>
      <c r="J30" s="38" t="inlineStr">
        <is>
          <t>#6 granularity (persistent vs spectacular)</t>
        </is>
      </c>
      <c r="K30" s="38" t="inlineStr">
        <is>
          <t>2026 ATA (DNI), NIE Afghanistan Taliban</t>
        </is>
      </c>
    </row>
    <row r="31" ht="32.8" customHeight="1" s="33">
      <c r="B31" s="37" t="inlineStr">
        <is>
          <t>E26</t>
        </is>
      </c>
      <c r="C31" s="38" t="inlineStr">
        <is>
          <t>Gray-zone competition becomes the prevailing geopolitical dynamic through 2030</t>
        </is>
      </c>
      <c r="D31" s="37" t="inlineStr">
        <is>
          <t>Conflict</t>
        </is>
      </c>
      <c r="E31" s="39" t="n">
        <v>3</v>
      </c>
      <c r="F31" s="40" t="n">
        <v>0.85</v>
      </c>
      <c r="G31" s="37" t="inlineStr">
        <is>
          <t>2026-2030</t>
        </is>
      </c>
      <c r="H31" s="37" t="inlineStr">
        <is>
          <t>Medium</t>
        </is>
      </c>
      <c r="I31" s="38" t="inlineStr">
        <is>
          <t>Comparisons: gray-zone activity rising; as 'prevailing' dynamic moderate-high. Historical: increasing since 2014. Avg opinions: IC + CSIS convergent. Models: hybrid-warfare models. Biases: low.</t>
        </is>
      </c>
      <c r="J31" s="38" t="inlineStr">
        <is>
          <t>#1 Triage; #3 outside view</t>
        </is>
      </c>
      <c r="K31" s="38" t="inlineStr">
        <is>
          <t>NIE Gray Zone 2030, 2026 ATA (DNI), Global Trends 2030</t>
        </is>
      </c>
    </row>
    <row r="32" ht="32.8" customHeight="1" s="33">
      <c r="B32" s="37" t="inlineStr">
        <is>
          <t>E27</t>
        </is>
      </c>
      <c r="C32" s="38" t="inlineStr">
        <is>
          <t>Afghanistan (Taliban): terrorism spillover + governance concerns by 2030</t>
        </is>
      </c>
      <c r="D32" s="37" t="inlineStr">
        <is>
          <t>Terrorism / Gov</t>
        </is>
      </c>
      <c r="E32" s="39" t="n">
        <v>1</v>
      </c>
      <c r="F32" s="42" t="n">
        <v>0.65</v>
      </c>
      <c r="G32" s="37" t="inlineStr">
        <is>
          <t>2026-2030</t>
        </is>
      </c>
      <c r="H32" s="37" t="inlineStr">
        <is>
          <t>Low</t>
        </is>
      </c>
      <c r="I32" s="38" t="inlineStr">
        <is>
          <t>Comparisons: post-withdrawal safe-haven risk moderate; external spectacular-attack planning rarer. Historical: ISIS-K activity. Avg opinions: IC convergent. Models: safe-haven models. Biases: availability bias.</t>
        </is>
      </c>
      <c r="J32" s="38" t="inlineStr">
        <is>
          <t>#6 granularity; #4 update</t>
        </is>
      </c>
      <c r="K32" s="38" t="inlineStr">
        <is>
          <t>NIE Afghanistan Taliban</t>
        </is>
      </c>
    </row>
    <row r="33" ht="32.8" customHeight="1" s="33">
      <c r="B33" s="37" t="inlineStr">
        <is>
          <t>E28</t>
        </is>
      </c>
      <c r="C33" s="38" t="inlineStr">
        <is>
          <t>Global temperature records continue (2026 among hottest years)</t>
        </is>
      </c>
      <c r="D33" s="37" t="inlineStr">
        <is>
          <t>Climate</t>
        </is>
      </c>
      <c r="E33" s="39" t="n">
        <v>2</v>
      </c>
      <c r="F33" s="40" t="n">
        <v>0.9</v>
      </c>
      <c r="G33" s="37" t="inlineStr">
        <is>
          <t>2026-2030</t>
        </is>
      </c>
      <c r="H33" s="37" t="inlineStr">
        <is>
          <t>High</t>
        </is>
      </c>
      <c r="I33" s="38" t="inlineStr">
        <is>
          <t>Comparisons: record-hot-year base rate now very high under warming trend. Historical: top-10 years all recent. Avg opinions: climate science + Polymarket convergent. Models: ENSO + warming trend. Biases: low.</t>
        </is>
      </c>
      <c r="J33" s="38" t="inlineStr">
        <is>
          <t>#1 Triage (near-clock-like)</t>
        </is>
      </c>
      <c r="K33" s="38" t="inlineStr">
        <is>
          <t>NIE Climate Change, Global Trends 2040</t>
        </is>
      </c>
    </row>
    <row r="35" ht="15" customHeight="1" s="33">
      <c r="B35" s="43" t="inlineStr">
        <is>
          <t>Probability bands:</t>
        </is>
      </c>
      <c r="C35" s="44" t="n"/>
      <c r="D35" s="45" t="inlineStr">
        <is>
          <t>&gt;=80% High likelihood</t>
        </is>
      </c>
      <c r="E35" s="46" t="inlineStr">
        <is>
          <t>50-79% Moderate</t>
        </is>
      </c>
      <c r="F35" s="47" t="inlineStr">
        <is>
          <t>&lt;50% Lower / uncertain</t>
        </is>
      </c>
    </row>
    <row r="37" ht="15" customHeight="1" s="33">
      <c r="B37" s="48" t="inlineStr">
        <is>
          <t>Sources: 2026 ATA &amp; Global Trends (dni.gov/NIC); NIC NIEs/NICAs (dni.gov); intelligence.gov (IC portal). Calibration anchors: Polymarket (Taiwan ~4% by end-2026 / ~13% by end-2027), CSIS (PLA 2027 readiness), IC judgments on Iran post-strike. Methodology: Tetlock CHAMP + Ten Commandments (Good Judgment Project).</t>
        </is>
      </c>
    </row>
    <row r="38" ht="15" customHeight="1" s="33"/>
    <row r="39" ht="15" customHeight="1" s="33"/>
  </sheetData>
  <mergeCells count="4">
    <mergeCell ref="B35:C35"/>
    <mergeCell ref="B37:J39"/>
    <mergeCell ref="B3:K3"/>
    <mergeCell ref="B2:K2"/>
  </mergeCells>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B2:R42"/>
  <sheetViews>
    <sheetView showFormulas="0" showGridLines="1" showRowColHeaders="1" showZeros="1" rightToLeft="0" tabSelected="0" showOutlineSymbols="1" defaultGridColor="1"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baseColWidth="8" defaultColWidth="8.6796875" defaultRowHeight="15" customHeight="0" zeroHeight="0" outlineLevelRow="0" outlineLevelCol="0"/>
  <cols>
    <col width="2.5" customWidth="1" style="32" min="1" max="1"/>
    <col width="6" customWidth="1" style="32" min="2" max="2"/>
    <col width="40" customWidth="1" style="32" min="3" max="3"/>
    <col width="14" customWidth="1" style="32" min="4" max="4"/>
    <col width="9" customWidth="1" style="32" min="5" max="17"/>
    <col width="12" customWidth="1" style="32" min="18" max="18"/>
  </cols>
  <sheetData>
    <row r="2" ht="21.75" customHeight="1" s="33">
      <c r="B2" s="34" t="inlineStr">
        <is>
          <t>Analysis — Cross-Report Tally of Forecasted Items</t>
        </is>
      </c>
    </row>
    <row r="3" ht="15" customHeight="1" s="33">
      <c r="B3" s="49" t="inlineStr">
        <is>
          <t>Each forecasted event is counted across the 12 substantive IC report tabs. An 'X' marks a report listing a matching forecast. intelligence.gov and dni.gov are umbrella indexes (not separate forecasts), excluded from the count to avoid double-counting.</t>
        </is>
      </c>
    </row>
    <row r="5" ht="35.05" customHeight="1" s="33">
      <c r="B5" s="36" t="inlineStr">
        <is>
          <t>ID</t>
        </is>
      </c>
      <c r="C5" s="36" t="inlineStr">
        <is>
          <t>Forecasted Event</t>
        </is>
      </c>
      <c r="D5" s="36" t="inlineStr">
        <is>
          <t>Theme</t>
        </is>
      </c>
      <c r="E5" s="36" t="inlineStr">
        <is>
          <t>Tally (# reports)</t>
        </is>
      </c>
      <c r="F5" s="36" t="inlineStr">
        <is>
          <t>2026 ATA (DNI)</t>
        </is>
      </c>
      <c r="G5" s="36" t="inlineStr">
        <is>
          <t>Global Trends 2040</t>
        </is>
      </c>
      <c r="H5" s="36" t="inlineStr">
        <is>
          <t>Global Trends 2035</t>
        </is>
      </c>
      <c r="I5" s="36" t="inlineStr">
        <is>
          <t>Global Trends 2030</t>
        </is>
      </c>
      <c r="J5" s="36" t="inlineStr">
        <is>
          <t>NIE North Korea Nuclear</t>
        </is>
      </c>
      <c r="K5" s="36" t="inlineStr">
        <is>
          <t>NIE Gray Zone 2030</t>
        </is>
      </c>
      <c r="L5" s="36" t="inlineStr">
        <is>
          <t>NIE Chinese Space 2030</t>
        </is>
      </c>
      <c r="M5" s="36" t="inlineStr">
        <is>
          <t>NIE Health Security</t>
        </is>
      </c>
      <c r="N5" s="36" t="inlineStr">
        <is>
          <t>NIE Climate Change</t>
        </is>
      </c>
      <c r="O5" s="36" t="inlineStr">
        <is>
          <t>NIE COVID Through 2026</t>
        </is>
      </c>
      <c r="P5" s="36" t="inlineStr">
        <is>
          <t>NICA Iran Transition</t>
        </is>
      </c>
      <c r="Q5" s="36" t="inlineStr">
        <is>
          <t>NIE Afghanistan Taliban</t>
        </is>
      </c>
      <c r="R5" s="36" t="inlineStr">
        <is>
          <t>Recurring (&gt;=2)?</t>
        </is>
      </c>
    </row>
    <row r="6" ht="22.35" customHeight="1" s="33">
      <c r="B6" s="37" t="inlineStr">
        <is>
          <t>E1</t>
        </is>
      </c>
      <c r="C6" s="38" t="inlineStr">
        <is>
          <t>US-China strategic competition intensifies across military/economic/tech</t>
        </is>
      </c>
      <c r="D6" s="37" t="inlineStr">
        <is>
          <t>Geopolitics</t>
        </is>
      </c>
      <c r="E6" s="50">
        <f>COUNTIF(F6:Q6,"X")</f>
        <v/>
      </c>
      <c r="F6" s="37" t="inlineStr">
        <is>
          <t>X</t>
        </is>
      </c>
      <c r="G6" s="37" t="inlineStr">
        <is>
          <t>X</t>
        </is>
      </c>
      <c r="H6" s="37" t="inlineStr">
        <is>
          <t>X</t>
        </is>
      </c>
      <c r="I6" s="37" t="inlineStr">
        <is>
          <t>X</t>
        </is>
      </c>
      <c r="J6" s="37" t="n"/>
      <c r="K6" s="37" t="inlineStr">
        <is>
          <t>X</t>
        </is>
      </c>
      <c r="L6" s="37" t="inlineStr">
        <is>
          <t>X</t>
        </is>
      </c>
      <c r="M6" s="37" t="n"/>
      <c r="N6" s="37" t="n"/>
      <c r="O6" s="37" t="n"/>
      <c r="P6" s="37" t="n"/>
      <c r="Q6" s="37" t="n"/>
      <c r="R6" s="37">
        <f>IF(E6&gt;=2,"Yes","No")</f>
        <v/>
      </c>
    </row>
    <row r="7" ht="22.35" customHeight="1" s="33">
      <c r="B7" s="37" t="inlineStr">
        <is>
          <t>E11</t>
        </is>
      </c>
      <c r="C7" s="38" t="inlineStr">
        <is>
          <t>International order fragments / multilateralism declines by 2035</t>
        </is>
      </c>
      <c r="D7" s="37" t="inlineStr">
        <is>
          <t>Order</t>
        </is>
      </c>
      <c r="E7" s="50">
        <f>COUNTIF(F7:Q7,"X")</f>
        <v/>
      </c>
      <c r="F7" s="37" t="inlineStr">
        <is>
          <t>X</t>
        </is>
      </c>
      <c r="G7" s="37" t="inlineStr">
        <is>
          <t>X</t>
        </is>
      </c>
      <c r="H7" s="37" t="inlineStr">
        <is>
          <t>X</t>
        </is>
      </c>
      <c r="I7" s="37" t="inlineStr">
        <is>
          <t>X</t>
        </is>
      </c>
      <c r="J7" s="37" t="n"/>
      <c r="K7" s="37" t="inlineStr">
        <is>
          <t>X</t>
        </is>
      </c>
      <c r="L7" s="37" t="n"/>
      <c r="M7" s="37" t="n"/>
      <c r="N7" s="37" t="n"/>
      <c r="O7" s="37" t="n"/>
      <c r="P7" s="37" t="n"/>
      <c r="Q7" s="37" t="n"/>
      <c r="R7" s="37">
        <f>IF(E7&gt;=2,"Yes","No")</f>
        <v/>
      </c>
    </row>
    <row r="8" ht="22.35" customHeight="1" s="33">
      <c r="B8" s="37" t="inlineStr">
        <is>
          <t>E9</t>
        </is>
      </c>
      <c r="C8" s="38" t="inlineStr">
        <is>
          <t>Armed conflict becomes more common globally through 2030</t>
        </is>
      </c>
      <c r="D8" s="37" t="inlineStr">
        <is>
          <t>Conflict</t>
        </is>
      </c>
      <c r="E8" s="50">
        <f>COUNTIF(F8:Q8,"X")</f>
        <v/>
      </c>
      <c r="F8" s="37" t="inlineStr">
        <is>
          <t>X</t>
        </is>
      </c>
      <c r="G8" s="37" t="n"/>
      <c r="H8" s="37" t="n"/>
      <c r="I8" s="37" t="inlineStr">
        <is>
          <t>X</t>
        </is>
      </c>
      <c r="J8" s="37" t="n"/>
      <c r="K8" s="37" t="inlineStr">
        <is>
          <t>X</t>
        </is>
      </c>
      <c r="L8" s="37" t="n"/>
      <c r="M8" s="37" t="n"/>
      <c r="N8" s="37" t="n"/>
      <c r="O8" s="37" t="n"/>
      <c r="P8" s="37" t="n"/>
      <c r="Q8" s="37" t="inlineStr">
        <is>
          <t>X</t>
        </is>
      </c>
      <c r="R8" s="37">
        <f>IF(E8&gt;=2,"Yes","No")</f>
        <v/>
      </c>
    </row>
    <row r="9" ht="22.35" customHeight="1" s="33">
      <c r="B9" s="37" t="inlineStr">
        <is>
          <t>E12</t>
        </is>
      </c>
      <c r="C9" s="38" t="inlineStr">
        <is>
          <t>Climate strains food/water/energy + drives migration by 2035</t>
        </is>
      </c>
      <c r="D9" s="37" t="inlineStr">
        <is>
          <t>Climate</t>
        </is>
      </c>
      <c r="E9" s="51">
        <f>COUNTIF(F9:Q9,"X")</f>
        <v/>
      </c>
      <c r="F9" s="37" t="n"/>
      <c r="G9" s="37" t="inlineStr">
        <is>
          <t>X</t>
        </is>
      </c>
      <c r="H9" s="37" t="n"/>
      <c r="I9" s="37" t="inlineStr">
        <is>
          <t>X</t>
        </is>
      </c>
      <c r="J9" s="37" t="n"/>
      <c r="K9" s="37" t="n"/>
      <c r="L9" s="37" t="n"/>
      <c r="M9" s="37" t="n"/>
      <c r="N9" s="37" t="inlineStr">
        <is>
          <t>X</t>
        </is>
      </c>
      <c r="O9" s="37" t="n"/>
      <c r="P9" s="37" t="n"/>
      <c r="Q9" s="37" t="n"/>
      <c r="R9" s="37">
        <f>IF(E9&gt;=2,"Yes","No")</f>
        <v/>
      </c>
    </row>
    <row r="10" ht="15" customHeight="1" s="33">
      <c r="B10" s="37" t="inlineStr">
        <is>
          <t>E15</t>
        </is>
      </c>
      <c r="C10" s="38" t="inlineStr">
        <is>
          <t>Societal fragmentation / governance erosion by 2035</t>
        </is>
      </c>
      <c r="D10" s="37" t="inlineStr">
        <is>
          <t>Society</t>
        </is>
      </c>
      <c r="E10" s="51">
        <f>COUNTIF(F10:Q10,"X")</f>
        <v/>
      </c>
      <c r="F10" s="37" t="n"/>
      <c r="G10" s="37" t="inlineStr">
        <is>
          <t>X</t>
        </is>
      </c>
      <c r="H10" s="37" t="inlineStr">
        <is>
          <t>X</t>
        </is>
      </c>
      <c r="I10" s="37" t="inlineStr">
        <is>
          <t>X</t>
        </is>
      </c>
      <c r="J10" s="37" t="n"/>
      <c r="K10" s="37" t="n"/>
      <c r="L10" s="37" t="n"/>
      <c r="M10" s="37" t="n"/>
      <c r="N10" s="37" t="n"/>
      <c r="O10" s="37" t="n"/>
      <c r="P10" s="37" t="n"/>
      <c r="Q10" s="37" t="n"/>
      <c r="R10" s="37">
        <f>IF(E10&gt;=2,"Yes","No")</f>
        <v/>
      </c>
    </row>
    <row r="11" ht="15" customHeight="1" s="33">
      <c r="B11" s="37" t="inlineStr">
        <is>
          <t>E17</t>
        </is>
      </c>
      <c r="C11" s="38" t="inlineStr">
        <is>
          <t>Pandemic / biosecurity event in the next decade</t>
        </is>
      </c>
      <c r="D11" s="37" t="inlineStr">
        <is>
          <t>Health</t>
        </is>
      </c>
      <c r="E11" s="51">
        <f>COUNTIF(F11:Q11,"X")</f>
        <v/>
      </c>
      <c r="F11" s="37" t="n"/>
      <c r="G11" s="37" t="inlineStr">
        <is>
          <t>X</t>
        </is>
      </c>
      <c r="H11" s="37" t="n"/>
      <c r="I11" s="37" t="n"/>
      <c r="J11" s="37" t="n"/>
      <c r="K11" s="37" t="n"/>
      <c r="L11" s="37" t="n"/>
      <c r="M11" s="37" t="inlineStr">
        <is>
          <t>X</t>
        </is>
      </c>
      <c r="N11" s="37" t="n"/>
      <c r="O11" s="37" t="inlineStr">
        <is>
          <t>X</t>
        </is>
      </c>
      <c r="P11" s="37" t="n"/>
      <c r="Q11" s="37" t="n"/>
      <c r="R11" s="37">
        <f>IF(E11&gt;=2,"Yes","No")</f>
        <v/>
      </c>
    </row>
    <row r="12" ht="15" customHeight="1" s="33">
      <c r="B12" s="37" t="inlineStr">
        <is>
          <t>E19</t>
        </is>
      </c>
      <c r="C12" s="38" t="inlineStr">
        <is>
          <t>Non-state actors lead on global challenges by 2035</t>
        </is>
      </c>
      <c r="D12" s="37" t="inlineStr">
        <is>
          <t>Order</t>
        </is>
      </c>
      <c r="E12" s="51">
        <f>COUNTIF(F12:Q12,"X")</f>
        <v/>
      </c>
      <c r="F12" s="37" t="inlineStr">
        <is>
          <t>X</t>
        </is>
      </c>
      <c r="G12" s="37" t="n"/>
      <c r="H12" s="37" t="inlineStr">
        <is>
          <t>X</t>
        </is>
      </c>
      <c r="I12" s="37" t="inlineStr">
        <is>
          <t>X</t>
        </is>
      </c>
      <c r="J12" s="37" t="n"/>
      <c r="K12" s="37" t="n"/>
      <c r="L12" s="37" t="n"/>
      <c r="M12" s="37" t="n"/>
      <c r="N12" s="37" t="n"/>
      <c r="O12" s="37" t="n"/>
      <c r="P12" s="37" t="n"/>
      <c r="Q12" s="37" t="n"/>
      <c r="R12" s="37">
        <f>IF(E12&gt;=2,"Yes","No")</f>
        <v/>
      </c>
    </row>
    <row r="13" ht="15" customHeight="1" s="33">
      <c r="B13" s="37" t="inlineStr">
        <is>
          <t>E2</t>
        </is>
      </c>
      <c r="C13" s="38" t="inlineStr">
        <is>
          <t>China-Taiwan kinetic conflict (invasion/blockade) by 2030</t>
        </is>
      </c>
      <c r="D13" s="37" t="inlineStr">
        <is>
          <t>Geopolitics</t>
        </is>
      </c>
      <c r="E13" s="51">
        <f>COUNTIF(F13:Q13,"X")</f>
        <v/>
      </c>
      <c r="F13" s="37" t="inlineStr">
        <is>
          <t>X</t>
        </is>
      </c>
      <c r="G13" s="37" t="inlineStr">
        <is>
          <t>X</t>
        </is>
      </c>
      <c r="H13" s="37" t="n"/>
      <c r="I13" s="37" t="inlineStr">
        <is>
          <t>X</t>
        </is>
      </c>
      <c r="J13" s="37" t="n"/>
      <c r="K13" s="37" t="n"/>
      <c r="L13" s="37" t="n"/>
      <c r="M13" s="37" t="n"/>
      <c r="N13" s="37" t="n"/>
      <c r="O13" s="37" t="n"/>
      <c r="P13" s="37" t="n"/>
      <c r="Q13" s="37" t="n"/>
      <c r="R13" s="37">
        <f>IF(E13&gt;=2,"Yes","No")</f>
        <v/>
      </c>
    </row>
    <row r="14" ht="22.35" customHeight="1" s="33">
      <c r="B14" s="37" t="inlineStr">
        <is>
          <t>E26</t>
        </is>
      </c>
      <c r="C14" s="38" t="inlineStr">
        <is>
          <t>Gray-zone competition becomes the prevailing geopolitical dynamic through 2030</t>
        </is>
      </c>
      <c r="D14" s="37" t="inlineStr">
        <is>
          <t>Conflict</t>
        </is>
      </c>
      <c r="E14" s="51">
        <f>COUNTIF(F14:Q14,"X")</f>
        <v/>
      </c>
      <c r="F14" s="37" t="inlineStr">
        <is>
          <t>X</t>
        </is>
      </c>
      <c r="G14" s="37" t="n"/>
      <c r="H14" s="37" t="n"/>
      <c r="I14" s="37" t="inlineStr">
        <is>
          <t>X</t>
        </is>
      </c>
      <c r="J14" s="37" t="n"/>
      <c r="K14" s="37" t="inlineStr">
        <is>
          <t>X</t>
        </is>
      </c>
      <c r="L14" s="37" t="n"/>
      <c r="M14" s="37" t="n"/>
      <c r="N14" s="37" t="n"/>
      <c r="O14" s="37" t="n"/>
      <c r="P14" s="37" t="n"/>
      <c r="Q14" s="37" t="n"/>
      <c r="R14" s="37">
        <f>IF(E14&gt;=2,"Yes","No")</f>
        <v/>
      </c>
    </row>
    <row r="15" ht="22.35" customHeight="1" s="33">
      <c r="B15" s="37" t="inlineStr">
        <is>
          <t>E7</t>
        </is>
      </c>
      <c r="C15" s="38" t="inlineStr">
        <is>
          <t>Nuclear proliferation grows (more warheads / new states) by 2030</t>
        </is>
      </c>
      <c r="D15" s="37" t="inlineStr">
        <is>
          <t>WMD</t>
        </is>
      </c>
      <c r="E15" s="51">
        <f>COUNTIF(F15:Q15,"X")</f>
        <v/>
      </c>
      <c r="F15" s="37" t="inlineStr">
        <is>
          <t>X</t>
        </is>
      </c>
      <c r="G15" s="37" t="n"/>
      <c r="H15" s="37" t="n"/>
      <c r="I15" s="37" t="inlineStr">
        <is>
          <t>X</t>
        </is>
      </c>
      <c r="J15" s="37" t="inlineStr">
        <is>
          <t>X</t>
        </is>
      </c>
      <c r="K15" s="37" t="n"/>
      <c r="L15" s="37" t="n"/>
      <c r="M15" s="37" t="n"/>
      <c r="N15" s="37" t="n"/>
      <c r="O15" s="37" t="n"/>
      <c r="P15" s="37" t="n"/>
      <c r="Q15" s="37" t="n"/>
      <c r="R15" s="37">
        <f>IF(E15&gt;=2,"Yes","No")</f>
        <v/>
      </c>
    </row>
    <row r="16" ht="15" customHeight="1" s="33">
      <c r="B16" s="37" t="inlineStr">
        <is>
          <t>E10</t>
        </is>
      </c>
      <c r="C16" s="38" t="inlineStr">
        <is>
          <t>Cyberattacks on US government &amp; critical infrastructure</t>
        </is>
      </c>
      <c r="D16" s="37" t="inlineStr">
        <is>
          <t>Cyber</t>
        </is>
      </c>
      <c r="E16" s="51">
        <f>COUNTIF(F16:Q16,"X")</f>
        <v/>
      </c>
      <c r="F16" s="37" t="inlineStr">
        <is>
          <t>X</t>
        </is>
      </c>
      <c r="G16" s="37" t="inlineStr">
        <is>
          <t>X</t>
        </is>
      </c>
      <c r="H16" s="37" t="n"/>
      <c r="I16" s="37" t="n"/>
      <c r="J16" s="37" t="n"/>
      <c r="K16" s="37" t="n"/>
      <c r="L16" s="37" t="n"/>
      <c r="M16" s="37" t="n"/>
      <c r="N16" s="37" t="n"/>
      <c r="O16" s="37" t="n"/>
      <c r="P16" s="37" t="n"/>
      <c r="Q16" s="37" t="n"/>
      <c r="R16" s="37">
        <f>IF(E16&gt;=2,"Yes","No")</f>
        <v/>
      </c>
    </row>
    <row r="17" ht="22.35" customHeight="1" s="33">
      <c r="B17" s="37" t="inlineStr">
        <is>
          <t>E13</t>
        </is>
      </c>
      <c r="C17" s="38" t="inlineStr">
        <is>
          <t>Demographic divergence continues (aging rich vs youthful developing)</t>
        </is>
      </c>
      <c r="D17" s="37" t="inlineStr">
        <is>
          <t>Demographics</t>
        </is>
      </c>
      <c r="E17" s="51">
        <f>COUNTIF(F17:Q17,"X")</f>
        <v/>
      </c>
      <c r="F17" s="37" t="n"/>
      <c r="G17" s="37" t="inlineStr">
        <is>
          <t>X</t>
        </is>
      </c>
      <c r="H17" s="37" t="n"/>
      <c r="I17" s="37" t="inlineStr">
        <is>
          <t>X</t>
        </is>
      </c>
      <c r="J17" s="37" t="n"/>
      <c r="K17" s="37" t="n"/>
      <c r="L17" s="37" t="n"/>
      <c r="M17" s="37" t="n"/>
      <c r="N17" s="37" t="n"/>
      <c r="O17" s="37" t="n"/>
      <c r="P17" s="37" t="n"/>
      <c r="Q17" s="37" t="n"/>
      <c r="R17" s="37">
        <f>IF(E17&gt;=2,"Yes","No")</f>
        <v/>
      </c>
    </row>
    <row r="18" ht="22.35" customHeight="1" s="33">
      <c r="B18" s="37" t="inlineStr">
        <is>
          <t>E14</t>
        </is>
      </c>
      <c r="C18" s="38" t="inlineStr">
        <is>
          <t>AI / emerging-tech disruption reshapes economy, governance, military by 2035</t>
        </is>
      </c>
      <c r="D18" s="37" t="inlineStr">
        <is>
          <t>Technology</t>
        </is>
      </c>
      <c r="E18" s="51">
        <f>COUNTIF(F18:Q18,"X")</f>
        <v/>
      </c>
      <c r="F18" s="37" t="inlineStr">
        <is>
          <t>X</t>
        </is>
      </c>
      <c r="G18" s="37" t="inlineStr">
        <is>
          <t>X</t>
        </is>
      </c>
      <c r="H18" s="37" t="n"/>
      <c r="I18" s="37" t="n"/>
      <c r="J18" s="37" t="n"/>
      <c r="K18" s="37" t="n"/>
      <c r="L18" s="37" t="n"/>
      <c r="M18" s="37" t="n"/>
      <c r="N18" s="37" t="n"/>
      <c r="O18" s="37" t="n"/>
      <c r="P18" s="37" t="n"/>
      <c r="Q18" s="37" t="n"/>
      <c r="R18" s="37">
        <f>IF(E18&gt;=2,"Yes","No")</f>
        <v/>
      </c>
    </row>
    <row r="19" ht="15" customHeight="1" s="33">
      <c r="B19" s="37" t="inlineStr">
        <is>
          <t>E20</t>
        </is>
      </c>
      <c r="C19" s="38" t="inlineStr">
        <is>
          <t>US-China managed/stabilized competition by 2035</t>
        </is>
      </c>
      <c r="D19" s="37" t="inlineStr">
        <is>
          <t>Scenario</t>
        </is>
      </c>
      <c r="E19" s="51">
        <f>COUNTIF(F19:Q19,"X")</f>
        <v/>
      </c>
      <c r="F19" s="37" t="n"/>
      <c r="G19" s="37" t="inlineStr">
        <is>
          <t>X</t>
        </is>
      </c>
      <c r="H19" s="37" t="n"/>
      <c r="I19" s="37" t="inlineStr">
        <is>
          <t>X</t>
        </is>
      </c>
      <c r="J19" s="37" t="n"/>
      <c r="K19" s="37" t="n"/>
      <c r="L19" s="37" t="n"/>
      <c r="M19" s="37" t="n"/>
      <c r="N19" s="37" t="n"/>
      <c r="O19" s="37" t="n"/>
      <c r="P19" s="37" t="n"/>
      <c r="Q19" s="37" t="n"/>
      <c r="R19" s="37">
        <f>IF(E19&gt;=2,"Yes","No")</f>
        <v/>
      </c>
    </row>
    <row r="20" ht="22.35" customHeight="1" s="33">
      <c r="B20" s="37" t="inlineStr">
        <is>
          <t>E25</t>
        </is>
      </c>
      <c r="C20" s="38" t="inlineStr">
        <is>
          <t>Transnational Islamist terrorism persists (below peak) through 2030</t>
        </is>
      </c>
      <c r="D20" s="37" t="inlineStr">
        <is>
          <t>Terrorism</t>
        </is>
      </c>
      <c r="E20" s="51">
        <f>COUNTIF(F20:Q20,"X")</f>
        <v/>
      </c>
      <c r="F20" s="37" t="inlineStr">
        <is>
          <t>X</t>
        </is>
      </c>
      <c r="G20" s="37" t="n"/>
      <c r="H20" s="37" t="n"/>
      <c r="I20" s="37" t="n"/>
      <c r="J20" s="37" t="n"/>
      <c r="K20" s="37" t="n"/>
      <c r="L20" s="37" t="n"/>
      <c r="M20" s="37" t="n"/>
      <c r="N20" s="37" t="n"/>
      <c r="O20" s="37" t="n"/>
      <c r="P20" s="37" t="n"/>
      <c r="Q20" s="37" t="inlineStr">
        <is>
          <t>X</t>
        </is>
      </c>
      <c r="R20" s="37">
        <f>IF(E20&gt;=2,"Yes","No")</f>
        <v/>
      </c>
    </row>
    <row r="21" ht="22.35" customHeight="1" s="33">
      <c r="B21" s="37" t="inlineStr">
        <is>
          <t>E28</t>
        </is>
      </c>
      <c r="C21" s="38" t="inlineStr">
        <is>
          <t>Global temperature records continue (2026 among hottest years)</t>
        </is>
      </c>
      <c r="D21" s="37" t="inlineStr">
        <is>
          <t>Climate</t>
        </is>
      </c>
      <c r="E21" s="51">
        <f>COUNTIF(F21:Q21,"X")</f>
        <v/>
      </c>
      <c r="F21" s="37" t="n"/>
      <c r="G21" s="37" t="inlineStr">
        <is>
          <t>X</t>
        </is>
      </c>
      <c r="H21" s="37" t="n"/>
      <c r="I21" s="37" t="n"/>
      <c r="J21" s="37" t="n"/>
      <c r="K21" s="37" t="n"/>
      <c r="L21" s="37" t="n"/>
      <c r="M21" s="37" t="n"/>
      <c r="N21" s="37" t="inlineStr">
        <is>
          <t>X</t>
        </is>
      </c>
      <c r="O21" s="37" t="n"/>
      <c r="P21" s="37" t="n"/>
      <c r="Q21" s="37" t="n"/>
      <c r="R21" s="37">
        <f>IF(E21&gt;=2,"Yes","No")</f>
        <v/>
      </c>
    </row>
    <row r="22" ht="15" customHeight="1" s="33">
      <c r="B22" s="37" t="inlineStr">
        <is>
          <t>E4</t>
        </is>
      </c>
      <c r="C22" s="38" t="inlineStr">
        <is>
          <t>Iran develops a militarily viable ICBM before 2035</t>
        </is>
      </c>
      <c r="D22" s="37" t="inlineStr">
        <is>
          <t>WMD / Missiles</t>
        </is>
      </c>
      <c r="E22" s="51">
        <f>COUNTIF(F22:Q22,"X")</f>
        <v/>
      </c>
      <c r="F22" s="37" t="inlineStr">
        <is>
          <t>X</t>
        </is>
      </c>
      <c r="G22" s="37" t="n"/>
      <c r="H22" s="37" t="n"/>
      <c r="I22" s="37" t="n"/>
      <c r="J22" s="37" t="n"/>
      <c r="K22" s="37" t="n"/>
      <c r="L22" s="37" t="n"/>
      <c r="M22" s="37" t="n"/>
      <c r="N22" s="37" t="n"/>
      <c r="O22" s="37" t="n"/>
      <c r="P22" s="37" t="inlineStr">
        <is>
          <t>X</t>
        </is>
      </c>
      <c r="Q22" s="37" t="n"/>
      <c r="R22" s="37">
        <f>IF(E22&gt;=2,"Yes","No")</f>
        <v/>
      </c>
    </row>
    <row r="23" ht="22.35" customHeight="1" s="33">
      <c r="B23" s="37" t="inlineStr">
        <is>
          <t>E5</t>
        </is>
      </c>
      <c r="C23" s="38" t="inlineStr">
        <is>
          <t>Iran reconstitutes/advances a nuclear weapons program by 2030</t>
        </is>
      </c>
      <c r="D23" s="37" t="inlineStr">
        <is>
          <t>WMD</t>
        </is>
      </c>
      <c r="E23" s="51">
        <f>COUNTIF(F23:Q23,"X")</f>
        <v/>
      </c>
      <c r="F23" s="37" t="inlineStr">
        <is>
          <t>X</t>
        </is>
      </c>
      <c r="G23" s="37" t="n"/>
      <c r="H23" s="37" t="n"/>
      <c r="I23" s="37" t="n"/>
      <c r="J23" s="37" t="n"/>
      <c r="K23" s="37" t="n"/>
      <c r="L23" s="37" t="n"/>
      <c r="M23" s="37" t="n"/>
      <c r="N23" s="37" t="n"/>
      <c r="O23" s="37" t="n"/>
      <c r="P23" s="37" t="inlineStr">
        <is>
          <t>X</t>
        </is>
      </c>
      <c r="Q23" s="37" t="n"/>
      <c r="R23" s="37">
        <f>IF(E23&gt;=2,"Yes","No")</f>
        <v/>
      </c>
    </row>
    <row r="24" ht="22.35" customHeight="1" s="33">
      <c r="B24" s="37" t="inlineStr">
        <is>
          <t>E6</t>
        </is>
      </c>
      <c r="C24" s="38" t="inlineStr">
        <is>
          <t>China &amp; Russia field operational counterspace/ASAT capabilities by 2030</t>
        </is>
      </c>
      <c r="D24" s="37" t="inlineStr">
        <is>
          <t>Space</t>
        </is>
      </c>
      <c r="E24" s="51">
        <f>COUNTIF(F24:Q24,"X")</f>
        <v/>
      </c>
      <c r="F24" s="37" t="inlineStr">
        <is>
          <t>X</t>
        </is>
      </c>
      <c r="G24" s="37" t="n"/>
      <c r="H24" s="37" t="n"/>
      <c r="I24" s="37" t="n"/>
      <c r="J24" s="37" t="n"/>
      <c r="K24" s="37" t="n"/>
      <c r="L24" s="37" t="inlineStr">
        <is>
          <t>X</t>
        </is>
      </c>
      <c r="M24" s="37" t="n"/>
      <c r="N24" s="37" t="n"/>
      <c r="O24" s="37" t="n"/>
      <c r="P24" s="37" t="n"/>
      <c r="Q24" s="37" t="n"/>
      <c r="R24" s="37">
        <f>IF(E24&gt;=2,"Yes","No")</f>
        <v/>
      </c>
    </row>
    <row r="25" ht="22.35" customHeight="1" s="33">
      <c r="B25" s="37" t="inlineStr">
        <is>
          <t>E8</t>
        </is>
      </c>
      <c r="C25" s="38" t="inlineStr">
        <is>
          <t>North Korea expands warhead stockpile + missiles evading defenses</t>
        </is>
      </c>
      <c r="D25" s="37" t="inlineStr">
        <is>
          <t>WMD</t>
        </is>
      </c>
      <c r="E25" s="51">
        <f>COUNTIF(F25:Q25,"X")</f>
        <v/>
      </c>
      <c r="F25" s="37" t="inlineStr">
        <is>
          <t>X</t>
        </is>
      </c>
      <c r="G25" s="37" t="n"/>
      <c r="H25" s="37" t="n"/>
      <c r="I25" s="37" t="n"/>
      <c r="J25" s="37" t="inlineStr">
        <is>
          <t>X</t>
        </is>
      </c>
      <c r="K25" s="37" t="n"/>
      <c r="L25" s="37" t="n"/>
      <c r="M25" s="37" t="n"/>
      <c r="N25" s="37" t="n"/>
      <c r="O25" s="37" t="n"/>
      <c r="P25" s="37" t="n"/>
      <c r="Q25" s="37" t="n"/>
      <c r="R25" s="37">
        <f>IF(E25&gt;=2,"Yes","No")</f>
        <v/>
      </c>
    </row>
    <row r="26" ht="22.35" customHeight="1" s="33">
      <c r="B26" s="37" t="inlineStr">
        <is>
          <t>E16</t>
        </is>
      </c>
      <c r="C26" s="38" t="inlineStr">
        <is>
          <t>Major global crisis triggers unprecedented cooperation by 2040</t>
        </is>
      </c>
      <c r="D26" s="37" t="inlineStr">
        <is>
          <t>Scenario</t>
        </is>
      </c>
      <c r="E26" s="39">
        <f>COUNTIF(F26:Q26,"X")</f>
        <v/>
      </c>
      <c r="F26" s="37" t="n"/>
      <c r="G26" s="37" t="inlineStr">
        <is>
          <t>X</t>
        </is>
      </c>
      <c r="H26" s="37" t="n"/>
      <c r="I26" s="37" t="n"/>
      <c r="J26" s="37" t="n"/>
      <c r="K26" s="37" t="n"/>
      <c r="L26" s="37" t="n"/>
      <c r="M26" s="37" t="n"/>
      <c r="N26" s="37" t="n"/>
      <c r="O26" s="37" t="n"/>
      <c r="P26" s="37" t="n"/>
      <c r="Q26" s="37" t="n"/>
      <c r="R26" s="37">
        <f>IF(E26&gt;=2,"Yes","No")</f>
        <v/>
      </c>
    </row>
    <row r="27" ht="15" customHeight="1" s="33">
      <c r="B27" s="37" t="inlineStr">
        <is>
          <t>E18</t>
        </is>
      </c>
      <c r="C27" s="38" t="inlineStr">
        <is>
          <t>US-led democracies renew and surge by 2040</t>
        </is>
      </c>
      <c r="D27" s="37" t="inlineStr">
        <is>
          <t>Scenario</t>
        </is>
      </c>
      <c r="E27" s="39">
        <f>COUNTIF(F27:Q27,"X")</f>
        <v/>
      </c>
      <c r="F27" s="37" t="n"/>
      <c r="G27" s="37" t="inlineStr">
        <is>
          <t>X</t>
        </is>
      </c>
      <c r="H27" s="37" t="n"/>
      <c r="I27" s="37" t="n"/>
      <c r="J27" s="37" t="n"/>
      <c r="K27" s="37" t="n"/>
      <c r="L27" s="37" t="n"/>
      <c r="M27" s="37" t="n"/>
      <c r="N27" s="37" t="n"/>
      <c r="O27" s="37" t="n"/>
      <c r="P27" s="37" t="n"/>
      <c r="Q27" s="37" t="n"/>
      <c r="R27" s="37">
        <f>IF(E27&gt;=2,"Yes","No")</f>
        <v/>
      </c>
    </row>
    <row r="28" ht="22.35" customHeight="1" s="33">
      <c r="B28" s="37" t="inlineStr">
        <is>
          <t>E21</t>
        </is>
      </c>
      <c r="C28" s="38" t="inlineStr">
        <is>
          <t>Russia becomes more reliant on asymmetric + China by 2030</t>
        </is>
      </c>
      <c r="D28" s="37" t="inlineStr">
        <is>
          <t>Geopolitics</t>
        </is>
      </c>
      <c r="E28" s="39">
        <f>COUNTIF(F28:Q28,"X")</f>
        <v/>
      </c>
      <c r="F28" s="37" t="inlineStr">
        <is>
          <t>X</t>
        </is>
      </c>
      <c r="G28" s="37" t="n"/>
      <c r="H28" s="37" t="n"/>
      <c r="I28" s="37" t="n"/>
      <c r="J28" s="37" t="n"/>
      <c r="K28" s="37" t="n"/>
      <c r="L28" s="37" t="n"/>
      <c r="M28" s="37" t="n"/>
      <c r="N28" s="37" t="n"/>
      <c r="O28" s="37" t="n"/>
      <c r="P28" s="37" t="n"/>
      <c r="Q28" s="37" t="n"/>
      <c r="R28" s="37">
        <f>IF(E28&gt;=2,"Yes","No")</f>
        <v/>
      </c>
    </row>
    <row r="29" ht="15" customHeight="1" s="33">
      <c r="B29" s="37" t="inlineStr">
        <is>
          <t>E22</t>
        </is>
      </c>
      <c r="C29" s="38" t="inlineStr">
        <is>
          <t>African conflicts persist through 2026+</t>
        </is>
      </c>
      <c r="D29" s="37" t="inlineStr">
        <is>
          <t>Conflict</t>
        </is>
      </c>
      <c r="E29" s="39">
        <f>COUNTIF(F29:Q29,"X")</f>
        <v/>
      </c>
      <c r="F29" s="37" t="inlineStr">
        <is>
          <t>X</t>
        </is>
      </c>
      <c r="G29" s="37" t="n"/>
      <c r="H29" s="37" t="n"/>
      <c r="I29" s="37" t="n"/>
      <c r="J29" s="37" t="n"/>
      <c r="K29" s="37" t="n"/>
      <c r="L29" s="37" t="n"/>
      <c r="M29" s="37" t="n"/>
      <c r="N29" s="37" t="n"/>
      <c r="O29" s="37" t="n"/>
      <c r="P29" s="37" t="n"/>
      <c r="Q29" s="37" t="n"/>
      <c r="R29" s="37">
        <f>IF(E29&gt;=2,"Yes","No")</f>
        <v/>
      </c>
    </row>
    <row r="30" ht="22.35" customHeight="1" s="33">
      <c r="B30" s="37" t="inlineStr">
        <is>
          <t>E23</t>
        </is>
      </c>
      <c r="C30" s="38" t="inlineStr">
        <is>
          <t>Fentanyl/overdose deaths continue declining through 2027</t>
        </is>
      </c>
      <c r="D30" s="37" t="inlineStr">
        <is>
          <t>Crime / Health</t>
        </is>
      </c>
      <c r="E30" s="39">
        <f>COUNTIF(F30:Q30,"X")</f>
        <v/>
      </c>
      <c r="F30" s="37" t="inlineStr">
        <is>
          <t>X</t>
        </is>
      </c>
      <c r="G30" s="37" t="n"/>
      <c r="H30" s="37" t="n"/>
      <c r="I30" s="37" t="n"/>
      <c r="J30" s="37" t="n"/>
      <c r="K30" s="37" t="n"/>
      <c r="L30" s="37" t="n"/>
      <c r="M30" s="37" t="n"/>
      <c r="N30" s="37" t="n"/>
      <c r="O30" s="37" t="n"/>
      <c r="P30" s="37" t="n"/>
      <c r="Q30" s="37" t="n"/>
      <c r="R30" s="37">
        <f>IF(E30&gt;=2,"Yes","No")</f>
        <v/>
      </c>
    </row>
    <row r="31" ht="22.35" customHeight="1" s="33">
      <c r="B31" s="37" t="inlineStr">
        <is>
          <t>E24</t>
        </is>
      </c>
      <c r="C31" s="38" t="inlineStr">
        <is>
          <t>Illegal border encounters remain sharply reduced through 2027</t>
        </is>
      </c>
      <c r="D31" s="37" t="inlineStr">
        <is>
          <t>Border</t>
        </is>
      </c>
      <c r="E31" s="39">
        <f>COUNTIF(F31:Q31,"X")</f>
        <v/>
      </c>
      <c r="F31" s="37" t="inlineStr">
        <is>
          <t>X</t>
        </is>
      </c>
      <c r="G31" s="37" t="n"/>
      <c r="H31" s="37" t="n"/>
      <c r="I31" s="37" t="n"/>
      <c r="J31" s="37" t="n"/>
      <c r="K31" s="37" t="n"/>
      <c r="L31" s="37" t="n"/>
      <c r="M31" s="37" t="n"/>
      <c r="N31" s="37" t="n"/>
      <c r="O31" s="37" t="n"/>
      <c r="P31" s="37" t="n"/>
      <c r="Q31" s="37" t="n"/>
      <c r="R31" s="37">
        <f>IF(E31&gt;=2,"Yes","No")</f>
        <v/>
      </c>
    </row>
    <row r="32" ht="22.35" customHeight="1" s="33">
      <c r="B32" s="37" t="inlineStr">
        <is>
          <t>E27</t>
        </is>
      </c>
      <c r="C32" s="38" t="inlineStr">
        <is>
          <t>Afghanistan (Taliban): terrorism spillover + governance concerns by 2030</t>
        </is>
      </c>
      <c r="D32" s="37" t="inlineStr">
        <is>
          <t>Terrorism / Gov</t>
        </is>
      </c>
      <c r="E32" s="39">
        <f>COUNTIF(F32:Q32,"X")</f>
        <v/>
      </c>
      <c r="F32" s="37" t="n"/>
      <c r="G32" s="37" t="n"/>
      <c r="H32" s="37" t="n"/>
      <c r="I32" s="37" t="n"/>
      <c r="J32" s="37" t="n"/>
      <c r="K32" s="37" t="n"/>
      <c r="L32" s="37" t="n"/>
      <c r="M32" s="37" t="n"/>
      <c r="N32" s="37" t="n"/>
      <c r="O32" s="37" t="n"/>
      <c r="P32" s="37" t="n"/>
      <c r="Q32" s="37" t="inlineStr">
        <is>
          <t>X</t>
        </is>
      </c>
      <c r="R32" s="37">
        <f>IF(E32&gt;=2,"Yes","No")</f>
        <v/>
      </c>
    </row>
    <row r="33" ht="22.35" customHeight="1" s="33">
      <c r="B33" s="37" t="inlineStr">
        <is>
          <t>E3</t>
        </is>
      </c>
      <c r="C33" s="38" t="inlineStr">
        <is>
          <t>Homeland missile threat expands to &gt;16,000 missiles by 2035 (from ~3,000)</t>
        </is>
      </c>
      <c r="D33" s="37" t="inlineStr">
        <is>
          <t>WMD / Missiles</t>
        </is>
      </c>
      <c r="E33" s="39">
        <f>COUNTIF(F33:Q33,"X")</f>
        <v/>
      </c>
      <c r="F33" s="37" t="inlineStr">
        <is>
          <t>X</t>
        </is>
      </c>
      <c r="G33" s="37" t="n"/>
      <c r="H33" s="37" t="n"/>
      <c r="I33" s="37" t="n"/>
      <c r="J33" s="37" t="n"/>
      <c r="K33" s="37" t="n"/>
      <c r="L33" s="37" t="n"/>
      <c r="M33" s="37" t="n"/>
      <c r="N33" s="37" t="n"/>
      <c r="O33" s="37" t="n"/>
      <c r="P33" s="37" t="n"/>
      <c r="Q33" s="37" t="n"/>
      <c r="R33" s="37">
        <f>IF(E33&gt;=2,"Yes","No")</f>
        <v/>
      </c>
    </row>
    <row r="35" ht="15" customHeight="1" s="33">
      <c r="B35" s="52" t="inlineStr">
        <is>
          <t>Summary</t>
        </is>
      </c>
    </row>
    <row r="36" ht="15" customHeight="1" s="33">
      <c r="B36" s="53" t="inlineStr">
        <is>
          <t>Unique forecasted events tracked:</t>
        </is>
      </c>
      <c r="D36" s="54" t="n">
        <v>28</v>
      </c>
    </row>
    <row r="37" ht="15" customHeight="1" s="33">
      <c r="B37" s="53" t="inlineStr">
        <is>
          <t>Events recurring across &gt;=2 reports:</t>
        </is>
      </c>
      <c r="D37" s="54" t="n">
        <v>20</v>
      </c>
    </row>
    <row r="38" ht="15" customHeight="1" s="33">
      <c r="B38" s="53" t="inlineStr">
        <is>
          <t>Most-cited event / tally:</t>
        </is>
      </c>
      <c r="D38" s="54" t="inlineStr">
        <is>
          <t>E1 (6 reports)</t>
        </is>
      </c>
    </row>
    <row r="40" ht="15" customHeight="1" s="33">
      <c r="B40" s="48" t="inlineStr">
        <is>
          <t>Note: 'Recurring' forecasts (tally &gt;=2) carry higher analytical weight — multiple independent IC products flag the same dynamic, raising prior probability. Single-report items are more speculative and treated with wider uncertainty bands.</t>
        </is>
      </c>
    </row>
    <row r="41" ht="15" customHeight="1" s="33"/>
    <row r="42" ht="15" customHeight="1" s="33"/>
  </sheetData>
  <mergeCells count="3">
    <mergeCell ref="B40:F42"/>
    <mergeCell ref="B2:R2"/>
    <mergeCell ref="B3:R3"/>
  </mergeCells>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fitToPage="1"/>
  </sheetPr>
  <dimension ref="A1:H48"/>
  <sheetViews>
    <sheetView workbookViewId="0">
      <pane xSplit="1" ySplit="13" topLeftCell="B14" activePane="bottomRight" state="frozen"/>
      <selection pane="topRight"/>
      <selection pane="bottomLeft"/>
      <selection pane="bottomRight" activeCell="A1" sqref="A1"/>
    </sheetView>
  </sheetViews>
  <sheetFormatPr baseColWidth="8" defaultRowHeight="15"/>
  <cols>
    <col width="2.5" customWidth="1" style="33" min="1" max="1"/>
    <col width="5" customWidth="1" style="33" min="2" max="2"/>
    <col width="40" customWidth="1" style="33" min="3" max="3"/>
    <col width="14" customWidth="1" style="33" min="4" max="4"/>
    <col width="22" customWidth="1" style="33" min="5" max="5"/>
    <col width="34" customWidth="1" style="33" min="6" max="6"/>
    <col width="52" customWidth="1" style="33" min="7" max="7"/>
  </cols>
  <sheetData>
    <row r="1"/>
    <row r="2" ht="22" customHeight="1" s="33">
      <c r="B2" s="66" t="inlineStr">
        <is>
          <t>Source Inventory &amp; Methodology</t>
        </is>
      </c>
    </row>
    <row r="3">
      <c r="B3" s="67" t="inlineStr">
        <is>
          <t>Mapping of the 22 requested sources (20 IC foresight items + intelligence.gov + dni.gov) to workbook tabs, with full source URLs and verification status. A 23rd report tab (2026 Annual Threat Assessment) is included as a current-year product hosted by dni.gov/intelligence.gov.</t>
        </is>
      </c>
    </row>
    <row r="5">
      <c r="B5" s="68" t="inlineStr">
        <is>
          <t>Methodology</t>
        </is>
      </c>
    </row>
    <row r="6" ht="48" customHeight="1" s="33">
      <c r="B6" s="69" t="inlineStr">
        <is>
          <t>CHAMP</t>
        </is>
      </c>
      <c r="D6" s="70" t="inlineStr">
        <is>
          <t>Good Judgment Project probabilistic-reasoning acronym: C=Comparisons (base rates/outside view); H=Historical trends; A=Average opinions (expert &amp; market consensus); M=Mathematical models; P=Predictable biases (checked). Applied to every event on the Comprehensive Report tab.</t>
        </is>
      </c>
    </row>
    <row r="7" ht="48" customHeight="1" s="33">
      <c r="B7" s="69" t="inlineStr">
        <is>
          <t>Ten Commandments</t>
        </is>
      </c>
      <c r="D7" s="70" t="inlineStr">
        <is>
          <t>(Tetlock) 1 Triage; 2 Fermi-ize/decompose; 3 Balance inside &amp; outside views; 4 Balance under/overreacting to evidence; 5 Look for clashing causal forces; 6 Distinguish as many degrees of doubt as possible; 7 Balance under/overconfidence; 8 Look for errors behind mistakes (beware hindsight); 9 Bring out the best in others; 10 Master the error-balancing cycle (perpetual beta).</t>
        </is>
      </c>
    </row>
    <row r="8" ht="48" customHeight="1" s="33">
      <c r="B8" s="69" t="inlineStr">
        <is>
          <t>Disclaimer</t>
        </is>
      </c>
      <c r="D8" s="70" t="inlineStr">
        <is>
          <t>All probabilities and timelines are independent analytical estimates produced by applying Tetlock-style methods to publicly available IC foresight products. They are NOT official U.S. Intelligence Community judgments, certified forecasts, or betting advice.</t>
        </is>
      </c>
    </row>
    <row r="9" ht="48" customHeight="1" s="33">
      <c r="B9" s="69" t="inlineStr">
        <is>
          <t>Cross-tally method</t>
        </is>
      </c>
      <c r="D9" s="70" t="inlineStr">
        <is>
          <t>The Analysis tab counts an event once per substantive IC report tab that forecasts a matching item (12 report tabs). intelligence.gov and dni.gov are umbrella portals indexing the same products and are excluded from the tally to avoid double-counting. The tally and recurring columns are live COUNTIF/IF formulas over the X-matrix.</t>
        </is>
      </c>
    </row>
    <row r="10" ht="48" customHeight="1" s="33">
      <c r="B10" s="69" t="inlineStr">
        <is>
          <t>Calibration anchors</t>
        </is>
      </c>
      <c r="D10" s="70" t="inlineStr">
        <is>
          <t>Polymarket (Taiwan invasion ~4% by end-2026 / ~13% by end-2027; Iran enrichment deal ~6%); CSIS (Xi ordered PLA ready for successful Taiwan invasion by 2027); IC judgments on Iran post-strike (enrichment 'obliterated', no rebuild observed).</t>
        </is>
      </c>
    </row>
    <row r="12">
      <c r="B12" s="68" t="inlineStr">
        <is>
          <t>Source Inventory (22 requested inputs + 2026 ATA report)</t>
        </is>
      </c>
    </row>
    <row r="13">
      <c r="B13" s="71" t="inlineStr">
        <is>
          <t>#</t>
        </is>
      </c>
      <c r="C13" s="71" t="inlineStr">
        <is>
          <t>Source / Foresight Item</t>
        </is>
      </c>
      <c r="D13" s="71" t="inlineStr">
        <is>
          <t>Type</t>
        </is>
      </c>
      <c r="E13" s="71" t="inlineStr">
        <is>
          <t>Workbook Tab</t>
        </is>
      </c>
      <c r="F13" s="71" t="inlineStr">
        <is>
          <t>Verification Status</t>
        </is>
      </c>
      <c r="G13" s="71" t="inlineStr">
        <is>
          <t>Source URL</t>
        </is>
      </c>
    </row>
    <row r="14" ht="30" customHeight="1" s="33">
      <c r="B14" s="72" t="n">
        <v>1</v>
      </c>
      <c r="C14" s="73" t="inlineStr">
        <is>
          <t>Global Trends 2040 - Renaissance of Democracies</t>
        </is>
      </c>
      <c r="D14" s="72" t="inlineStr">
        <is>
          <t>Scenario</t>
        </is>
      </c>
      <c r="E14" s="73" t="inlineStr">
        <is>
          <t>Global Trends 2040</t>
        </is>
      </c>
      <c r="F14" s="73" t="inlineStr">
        <is>
          <t>Verified (DNI/NIC report; scenario via summary)</t>
        </is>
      </c>
      <c r="G14" s="74" t="inlineStr">
        <is>
          <t>https://www.dni.gov/index.php/who-we-are/organizations/mission-integration/nic/nic-related-menus/nic-related-content/nic-publications</t>
        </is>
      </c>
    </row>
    <row r="15" ht="30" customHeight="1" s="33">
      <c r="B15" s="72" t="n">
        <v>2</v>
      </c>
      <c r="C15" s="73" t="inlineStr">
        <is>
          <t>Global Trends 2040 - A World Adrift</t>
        </is>
      </c>
      <c r="D15" s="72" t="inlineStr">
        <is>
          <t>Scenario</t>
        </is>
      </c>
      <c r="E15" s="73" t="inlineStr">
        <is>
          <t>Global Trends 2040</t>
        </is>
      </c>
      <c r="F15" s="73" t="inlineStr">
        <is>
          <t>Verified (DNI/NIC report; scenario via summary)</t>
        </is>
      </c>
      <c r="G15" s="74" t="inlineStr">
        <is>
          <t>https://www.dni.gov/index.php/who-we-are/organizations/mission-integration/nic/nic-related-menus/nic-related-content/nic-publications</t>
        </is>
      </c>
    </row>
    <row r="16" ht="30" customHeight="1" s="33">
      <c r="B16" s="72" t="n">
        <v>3</v>
      </c>
      <c r="C16" s="73" t="inlineStr">
        <is>
          <t>Global Trends 2040 - Competitive Coexistence</t>
        </is>
      </c>
      <c r="D16" s="72" t="inlineStr">
        <is>
          <t>Scenario</t>
        </is>
      </c>
      <c r="E16" s="73" t="inlineStr">
        <is>
          <t>Global Trends 2040</t>
        </is>
      </c>
      <c r="F16" s="73" t="inlineStr">
        <is>
          <t>Verified (DNI/NIC report; scenario via summary)</t>
        </is>
      </c>
      <c r="G16" s="74" t="inlineStr">
        <is>
          <t>https://www.dni.gov/index.php/who-we-are/organizations/mission-integration/nic/nic-related-menus/nic-related-content/nic-publications</t>
        </is>
      </c>
    </row>
    <row r="17" ht="30" customHeight="1" s="33">
      <c r="B17" s="72" t="n">
        <v>4</v>
      </c>
      <c r="C17" s="73" t="inlineStr">
        <is>
          <t>Global Trends 2040 - Separate Silos</t>
        </is>
      </c>
      <c r="D17" s="72" t="inlineStr">
        <is>
          <t>Scenario</t>
        </is>
      </c>
      <c r="E17" s="73" t="inlineStr">
        <is>
          <t>Global Trends 2040</t>
        </is>
      </c>
      <c r="F17" s="73" t="inlineStr">
        <is>
          <t>Verified (DNI/NIC report; scenario via summary)</t>
        </is>
      </c>
      <c r="G17" s="74" t="inlineStr">
        <is>
          <t>https://www.dni.gov/index.php/who-we-are/organizations/mission-integration/nic/nic-related-menus/nic-related-content/nic-publications</t>
        </is>
      </c>
    </row>
    <row r="18" ht="30" customHeight="1" s="33">
      <c r="B18" s="72" t="n">
        <v>5</v>
      </c>
      <c r="C18" s="73" t="inlineStr">
        <is>
          <t>Global Trends 2040 - Tragedy and Mobilization</t>
        </is>
      </c>
      <c r="D18" s="72" t="inlineStr">
        <is>
          <t>Scenario</t>
        </is>
      </c>
      <c r="E18" s="73" t="inlineStr">
        <is>
          <t>Global Trends 2040</t>
        </is>
      </c>
      <c r="F18" s="73" t="inlineStr">
        <is>
          <t>Verified (DNI/NIC report; scenario via summary)</t>
        </is>
      </c>
      <c r="G18" s="74" t="inlineStr">
        <is>
          <t>https://www.aibites.press/article/ai-2040-cult-intelligence</t>
        </is>
      </c>
    </row>
    <row r="19" ht="30" customHeight="1" s="33">
      <c r="B19" s="72" t="n">
        <v>6</v>
      </c>
      <c r="C19" s="73" t="inlineStr">
        <is>
          <t>Global Trends 2035 - Islands</t>
        </is>
      </c>
      <c r="D19" s="72" t="inlineStr">
        <is>
          <t>Scenario</t>
        </is>
      </c>
      <c r="E19" s="73" t="inlineStr">
        <is>
          <t>Global Trends 2035</t>
        </is>
      </c>
      <c r="F19" s="73" t="inlineStr">
        <is>
          <t>Public title/scope-derived; scenario name not verified vs primary PDF this session</t>
        </is>
      </c>
      <c r="G19" s="74" t="inlineStr">
        <is>
          <t>https://www.dni.gov/index.php/who-we-are/organizations/mission-integration/nic/nic-related-menus/nic-related-content/nic-publications</t>
        </is>
      </c>
    </row>
    <row r="20" ht="30" customHeight="1" s="33">
      <c r="B20" s="72" t="n">
        <v>7</v>
      </c>
      <c r="C20" s="73" t="inlineStr">
        <is>
          <t>Global Trends 2035 - Orbits</t>
        </is>
      </c>
      <c r="D20" s="72" t="inlineStr">
        <is>
          <t>Scenario</t>
        </is>
      </c>
      <c r="E20" s="73" t="inlineStr">
        <is>
          <t>Global Trends 2035</t>
        </is>
      </c>
      <c r="F20" s="73" t="inlineStr">
        <is>
          <t>Public title/scope-derived; scenario name not verified vs primary PDF this session</t>
        </is>
      </c>
      <c r="G20" s="74" t="inlineStr">
        <is>
          <t>https://www.dni.gov/index.php/who-we-are/organizations/mission-integration/nic/nic-related-menus/nic-related-content/nic-publications</t>
        </is>
      </c>
    </row>
    <row r="21" ht="30" customHeight="1" s="33">
      <c r="B21" s="72" t="n">
        <v>8</v>
      </c>
      <c r="C21" s="73" t="inlineStr">
        <is>
          <t>Global Trends 2035 - Communities</t>
        </is>
      </c>
      <c r="D21" s="72" t="inlineStr">
        <is>
          <t>Scenario</t>
        </is>
      </c>
      <c r="E21" s="73" t="inlineStr">
        <is>
          <t>Global Trends 2035</t>
        </is>
      </c>
      <c r="F21" s="73" t="inlineStr">
        <is>
          <t>Public title/scope-derived; scenario name not verified vs primary PDF this session</t>
        </is>
      </c>
      <c r="G21" s="74" t="inlineStr">
        <is>
          <t>https://www.dni.gov/index.php/who-we-are/organizations/mission-integration/nic/nic-related-menus/nic-related-content/nic-publications</t>
        </is>
      </c>
    </row>
    <row r="22" ht="30" customHeight="1" s="33">
      <c r="B22" s="72" t="n">
        <v>9</v>
      </c>
      <c r="C22" s="73" t="inlineStr">
        <is>
          <t>Global Trends 2030 - Stalled Engines</t>
        </is>
      </c>
      <c r="D22" s="72" t="inlineStr">
        <is>
          <t>Scenario</t>
        </is>
      </c>
      <c r="E22" s="73" t="inlineStr">
        <is>
          <t>Global Trends 2030</t>
        </is>
      </c>
      <c r="F22" s="73" t="inlineStr">
        <is>
          <t>Verified from primary DNI PDF</t>
        </is>
      </c>
      <c r="G22" s="74" t="inlineStr">
        <is>
          <t>https://www.dni.gov/files/documents/GlobalTrends_2030.pdf</t>
        </is>
      </c>
    </row>
    <row r="23" ht="30" customHeight="1" s="33">
      <c r="B23" s="72" t="n">
        <v>10</v>
      </c>
      <c r="C23" s="73" t="inlineStr">
        <is>
          <t>Global Trends 2030 - Fusion</t>
        </is>
      </c>
      <c r="D23" s="72" t="inlineStr">
        <is>
          <t>Scenario</t>
        </is>
      </c>
      <c r="E23" s="73" t="inlineStr">
        <is>
          <t>Global Trends 2030</t>
        </is>
      </c>
      <c r="F23" s="73" t="inlineStr">
        <is>
          <t>Verified from primary DNI PDF</t>
        </is>
      </c>
      <c r="G23" s="74" t="inlineStr">
        <is>
          <t>https://www.dni.gov/files/documents/GlobalTrends_2030.pdf</t>
        </is>
      </c>
    </row>
    <row r="24" ht="30" customHeight="1" s="33">
      <c r="B24" s="72" t="n">
        <v>11</v>
      </c>
      <c r="C24" s="73" t="inlineStr">
        <is>
          <t>Global Trends 2030 - Gini-Out-of-the-Bottle</t>
        </is>
      </c>
      <c r="D24" s="72" t="inlineStr">
        <is>
          <t>Scenario</t>
        </is>
      </c>
      <c r="E24" s="73" t="inlineStr">
        <is>
          <t>Global Trends 2030</t>
        </is>
      </c>
      <c r="F24" s="73" t="inlineStr">
        <is>
          <t>Verified from primary DNI PDF</t>
        </is>
      </c>
      <c r="G24" s="74" t="inlineStr">
        <is>
          <t>https://www.dni.gov/files/documents/GlobalTrends_2030.pdf</t>
        </is>
      </c>
    </row>
    <row r="25" ht="30" customHeight="1" s="33">
      <c r="B25" s="72" t="n">
        <v>12</v>
      </c>
      <c r="C25" s="73" t="inlineStr">
        <is>
          <t>Global Trends 2030 - Nonstate World</t>
        </is>
      </c>
      <c r="D25" s="72" t="inlineStr">
        <is>
          <t>Scenario</t>
        </is>
      </c>
      <c r="E25" s="73" t="inlineStr">
        <is>
          <t>Global Trends 2030</t>
        </is>
      </c>
      <c r="F25" s="73" t="inlineStr">
        <is>
          <t>Verified from primary DNI PDF</t>
        </is>
      </c>
      <c r="G25" s="74" t="inlineStr">
        <is>
          <t>https://www.dni.gov/files/documents/GlobalTrends_2030.pdf</t>
        </is>
      </c>
    </row>
    <row r="26" ht="30" customHeight="1" s="33">
      <c r="B26" s="72" t="n">
        <v>13</v>
      </c>
      <c r="C26" s="73" t="inlineStr">
        <is>
          <t>NIE: North Korea - Leveraging Nuclear Weapons Through 2030 (2023)</t>
        </is>
      </c>
      <c r="D26" s="72" t="inlineStr">
        <is>
          <t>NIE</t>
        </is>
      </c>
      <c r="E26" s="73" t="inlineStr">
        <is>
          <t>NIE North Korea Nuclear</t>
        </is>
      </c>
      <c r="F26" s="73" t="inlineStr">
        <is>
          <t>Public title/scope-derived theme (classified full text not extracted)</t>
        </is>
      </c>
      <c r="G26" s="74" t="inlineStr">
        <is>
          <t>https://www.dni.gov/index.php/who-we-are/organizations/mission-integration/nic/nic-related-menus/nic-related-content/nic-publications</t>
        </is>
      </c>
    </row>
    <row r="27" ht="30" customHeight="1" s="33">
      <c r="B27" s="72" t="n">
        <v>14</v>
      </c>
      <c r="C27" s="73" t="inlineStr">
        <is>
          <t>NIE: Conflict in the Gray Zone Through 2030 (2024)</t>
        </is>
      </c>
      <c r="D27" s="72" t="inlineStr">
        <is>
          <t>NIE</t>
        </is>
      </c>
      <c r="E27" s="73" t="inlineStr">
        <is>
          <t>NIE Gray Zone 2030</t>
        </is>
      </c>
      <c r="F27" s="73" t="inlineStr">
        <is>
          <t>Public title/scope-derived theme (classified full text not extracted)</t>
        </is>
      </c>
      <c r="G27" s="74" t="inlineStr">
        <is>
          <t>https://www.dni.gov/index.php/who-we-are/organizations/mission-integration/nic/nic-related-menus/nic-related-content/nic-publications</t>
        </is>
      </c>
    </row>
    <row r="28" ht="30" customHeight="1" s="33">
      <c r="B28" s="72" t="n">
        <v>15</v>
      </c>
      <c r="C28" s="73" t="inlineStr">
        <is>
          <t>NIE: Chinese Space Activities Through 2030 (2021)</t>
        </is>
      </c>
      <c r="D28" s="72" t="inlineStr">
        <is>
          <t>NIE</t>
        </is>
      </c>
      <c r="E28" s="73" t="inlineStr">
        <is>
          <t>NIE Chinese Space 2030</t>
        </is>
      </c>
      <c r="F28" s="73" t="inlineStr">
        <is>
          <t>Public title/scope-derived theme (classified full text not extracted)</t>
        </is>
      </c>
      <c r="G28" s="74" t="inlineStr">
        <is>
          <t>https://www.dni.gov/index.php/who-we-are/organizations/mission-integration/nic/nic-related-menus/nic-related-content/nic-publications</t>
        </is>
      </c>
    </row>
    <row r="29" ht="30" customHeight="1" s="33">
      <c r="B29" s="72" t="n">
        <v>16</v>
      </c>
      <c r="C29" s="73" t="inlineStr">
        <is>
          <t>NIE: Dynamics Shaping Global Health Security Next Decade (2024)</t>
        </is>
      </c>
      <c r="D29" s="72" t="inlineStr">
        <is>
          <t>NIE</t>
        </is>
      </c>
      <c r="E29" s="73" t="inlineStr">
        <is>
          <t>NIE Health Security</t>
        </is>
      </c>
      <c r="F29" s="73" t="inlineStr">
        <is>
          <t>Public title/scope-derived theme (classified full text not extracted)</t>
        </is>
      </c>
      <c r="G29" s="74" t="inlineStr">
        <is>
          <t>https://www.dni.gov/index.php/who-we-are/organizations/mission-integration/nic/nic-related-menus/nic-related-content/nic-publications</t>
        </is>
      </c>
    </row>
    <row r="30" ht="30" customHeight="1" s="33">
      <c r="B30" s="72" t="n">
        <v>17</v>
      </c>
      <c r="C30" s="73" t="inlineStr">
        <is>
          <t>NIE: Climate Change (2021)</t>
        </is>
      </c>
      <c r="D30" s="72" t="inlineStr">
        <is>
          <t>NIE</t>
        </is>
      </c>
      <c r="E30" s="73" t="inlineStr">
        <is>
          <t>NIE Climate Change</t>
        </is>
      </c>
      <c r="F30" s="73" t="inlineStr">
        <is>
          <t>Public title/scope-derived theme (classified full text not extracted)</t>
        </is>
      </c>
      <c r="G30" s="74" t="inlineStr">
        <is>
          <t>https://www.dni.gov/index.php/who-we-are/organizations/mission-integration/nic/nic-related-menus/nic-related-content/nic-publications</t>
        </is>
      </c>
    </row>
    <row r="31" ht="30" customHeight="1" s="33">
      <c r="B31" s="72" t="n">
        <v>18</v>
      </c>
      <c r="C31" s="73" t="inlineStr">
        <is>
          <t>NIE: COVID-19 Implications Through 2026 (2022)</t>
        </is>
      </c>
      <c r="D31" s="72" t="inlineStr">
        <is>
          <t>NIE</t>
        </is>
      </c>
      <c r="E31" s="73" t="inlineStr">
        <is>
          <t>NIE COVID Through 2026</t>
        </is>
      </c>
      <c r="F31" s="73" t="inlineStr">
        <is>
          <t>Public title/scope-derived theme (classified full text not extracted)</t>
        </is>
      </c>
      <c r="G31" s="74" t="inlineStr">
        <is>
          <t>https://www.dni.gov/index.php/who-we-are/organizations/mission-integration/nic/nic-related-menus/nic-related-content/nic-publications</t>
        </is>
      </c>
    </row>
    <row r="32" ht="30" customHeight="1" s="33">
      <c r="B32" s="72" t="n">
        <v>19</v>
      </c>
      <c r="C32" s="73" t="inlineStr">
        <is>
          <t>NICA: Iran's Hardline Regime in Transition (2024)</t>
        </is>
      </c>
      <c r="D32" s="72" t="inlineStr">
        <is>
          <t>NICA</t>
        </is>
      </c>
      <c r="E32" s="73" t="inlineStr">
        <is>
          <t>NICA Iran Transition</t>
        </is>
      </c>
      <c r="F32" s="73" t="inlineStr">
        <is>
          <t>Public title/scope-derived theme (classified full text not extracted)</t>
        </is>
      </c>
      <c r="G32" s="74" t="inlineStr">
        <is>
          <t>https://www.dni.gov/index.php/who-we-are/organizations/mission-integration/nic/nic-related-menus/nic-related-content/nic-publications</t>
        </is>
      </c>
    </row>
    <row r="33" ht="30" customHeight="1" s="33">
      <c r="B33" s="72" t="n">
        <v>20</v>
      </c>
      <c r="C33" s="73" t="inlineStr">
        <is>
          <t>NIE: Afghanistan - Implications of Taliban Rule (2022)</t>
        </is>
      </c>
      <c r="D33" s="72" t="inlineStr">
        <is>
          <t>NIE</t>
        </is>
      </c>
      <c r="E33" s="73" t="inlineStr">
        <is>
          <t>NIE Afghanistan Taliban</t>
        </is>
      </c>
      <c r="F33" s="73" t="inlineStr">
        <is>
          <t>Public title/scope-derived theme (classified full text not extracted)</t>
        </is>
      </c>
      <c r="G33" s="74" t="inlineStr">
        <is>
          <t>https://www.dni.gov/index.php/who-we-are/organizations/mission-integration/nic/nic-related-menus/nic-related-content/nic-publications</t>
        </is>
      </c>
    </row>
    <row r="34" ht="30" customHeight="1" s="33">
      <c r="B34" s="72" t="n">
        <v>21</v>
      </c>
      <c r="C34" s="73" t="inlineStr">
        <is>
          <t>intelligence.gov</t>
        </is>
      </c>
      <c r="D34" s="72" t="inlineStr">
        <is>
          <t>Umbrella portal</t>
        </is>
      </c>
      <c r="E34" s="73" t="inlineStr">
        <is>
          <t>intelligence.gov</t>
        </is>
      </c>
      <c r="F34" s="73" t="inlineStr">
        <is>
          <t>Verified (IC portal index)</t>
        </is>
      </c>
      <c r="G34" s="74" t="inlineStr">
        <is>
          <t>https://www.intelligence.gov</t>
        </is>
      </c>
    </row>
    <row r="35" ht="30" customHeight="1" s="33">
      <c r="B35" s="72" t="n">
        <v>22</v>
      </c>
      <c r="C35" s="73" t="inlineStr">
        <is>
          <t>dni.gov</t>
        </is>
      </c>
      <c r="D35" s="72" t="inlineStr">
        <is>
          <t>Umbrella portal</t>
        </is>
      </c>
      <c r="E35" s="73" t="inlineStr">
        <is>
          <t>dni.gov</t>
        </is>
      </c>
      <c r="F35" s="73" t="inlineStr">
        <is>
          <t>Verified (ODNI/NIC host of GT + ATA + NIEs)</t>
        </is>
      </c>
      <c r="G35" s="74" t="inlineStr">
        <is>
          <t>https://www.dni.gov/index.php/who-we-are/organizations/mission-integration/nic/nic-related-menus/nic-related-content/nic-publications</t>
        </is>
      </c>
    </row>
    <row r="36" ht="30" customHeight="1" s="33">
      <c r="B36" s="72" t="n">
        <v>23</v>
      </c>
      <c r="C36" s="73" t="inlineStr">
        <is>
          <t>2026 Annual Threat Assessment (bonus report)</t>
        </is>
      </c>
      <c r="D36" s="72" t="inlineStr">
        <is>
          <t>ATA report</t>
        </is>
      </c>
      <c r="E36" s="73" t="inlineStr">
        <is>
          <t>2026 ATA (DNI)</t>
        </is>
      </c>
      <c r="F36" s="73" t="inlineStr">
        <is>
          <t>Verified (press release + DNI testimony opening statement)</t>
        </is>
      </c>
      <c r="G36" s="74" t="inlineStr">
        <is>
          <t>https://www.dni.gov/index.php/newsroom/press-releases/press-releases-2026/4142-pr-03-26</t>
        </is>
      </c>
    </row>
    <row r="38">
      <c r="B38" s="75" t="inlineStr">
        <is>
          <t>Calibration &amp; external sources</t>
        </is>
      </c>
    </row>
    <row r="39">
      <c r="B39" s="71" t="inlineStr">
        <is>
          <t>#</t>
        </is>
      </c>
      <c r="C39" s="71" t="inlineStr">
        <is>
          <t>Source</t>
        </is>
      </c>
      <c r="D39" s="71" t="inlineStr">
        <is>
          <t>URL</t>
        </is>
      </c>
      <c r="E39" s="76" t="n"/>
      <c r="F39" s="76" t="n"/>
      <c r="G39" s="77" t="n"/>
    </row>
    <row r="40" ht="24" customHeight="1" s="33">
      <c r="B40" s="78" t="n">
        <v>1</v>
      </c>
      <c r="C40" s="79" t="inlineStr">
        <is>
          <t>2026 ATA - full report (DNI)</t>
        </is>
      </c>
      <c r="D40" s="80" t="inlineStr">
        <is>
          <t>https://www.dni.gov/index.php/newsroom/reports-publications/reports-publications-2026/4141-2026-annual-threat-assessment</t>
        </is>
      </c>
      <c r="E40" s="81" t="n"/>
      <c r="F40" s="81" t="n"/>
      <c r="G40" s="81" t="n"/>
    </row>
    <row r="41" ht="24" customHeight="1" s="33">
      <c r="B41" s="78" t="n">
        <v>2</v>
      </c>
      <c r="C41" s="79" t="inlineStr">
        <is>
          <t>2026 ATA - DNI Gabbard opening statement (HPSCI)</t>
        </is>
      </c>
      <c r="D41" s="80" t="inlineStr">
        <is>
          <t>https://www.dni.gov/index.php/newsroom/congressional-testimonies/congressional-testimonies-2025/4061-ata-hpsci-opening-statement-as-delivered</t>
        </is>
      </c>
      <c r="E41" s="81" t="n"/>
      <c r="F41" s="81" t="n"/>
      <c r="G41" s="81" t="n"/>
    </row>
    <row r="42" ht="24" customHeight="1" s="33">
      <c r="B42" s="78" t="n">
        <v>3</v>
      </c>
      <c r="C42" s="79" t="inlineStr">
        <is>
          <t>Polymarket - Taiwan predictions</t>
        </is>
      </c>
      <c r="D42" s="80" t="inlineStr">
        <is>
          <t>https://polymarket.com/tl/predictions/taiwan</t>
        </is>
      </c>
      <c r="E42" s="81" t="n"/>
      <c r="F42" s="81" t="n"/>
      <c r="G42" s="81" t="n"/>
    </row>
    <row r="43" ht="24" customHeight="1" s="33">
      <c r="B43" s="78" t="n">
        <v>4</v>
      </c>
      <c r="C43" s="79" t="inlineStr">
        <is>
          <t>Polymarket - Iran enrichment deal</t>
        </is>
      </c>
      <c r="D43" s="80" t="inlineStr">
        <is>
          <t>https://polymarket.com/event/iran-agrees-to-end-enrichment-of-uranium-by-september-30-20260709004922353</t>
        </is>
      </c>
      <c r="E43" s="81" t="n"/>
      <c r="F43" s="81" t="n"/>
      <c r="G43" s="81" t="n"/>
    </row>
    <row r="44" ht="24" customHeight="1" s="33">
      <c r="B44" s="78" t="n">
        <v>5</v>
      </c>
      <c r="C44" s="79" t="inlineStr">
        <is>
          <t>CSIS - Wartime Footing (PLA 2027 readiness)</t>
        </is>
      </c>
      <c r="D44" s="80" t="inlineStr">
        <is>
          <t>https://www.csis.org/analysis/wartime-footing-two-front-strategy-confront-china-and-russia</t>
        </is>
      </c>
      <c r="E44" s="81" t="n"/>
      <c r="F44" s="81" t="n"/>
      <c r="G44" s="81" t="n"/>
    </row>
    <row r="45" ht="24" customHeight="1" s="33">
      <c r="B45" s="78" t="n">
        <v>6</v>
      </c>
      <c r="C45" s="79" t="inlineStr">
        <is>
          <t>Tetlock / Superforecaster methodology (Wikipedia)</t>
        </is>
      </c>
      <c r="D45" s="80" t="inlineStr">
        <is>
          <t>https://en.wikipedia.org/wiki/Superforecaster</t>
        </is>
      </c>
      <c r="E45" s="81" t="n"/>
      <c r="F45" s="81" t="n"/>
      <c r="G45" s="81" t="n"/>
    </row>
    <row r="46" ht="24" customHeight="1" s="33">
      <c r="B46" s="78" t="n">
        <v>7</v>
      </c>
      <c r="C46" s="79" t="inlineStr">
        <is>
          <t>AIBites summary of Global Trends 2040 scenarios</t>
        </is>
      </c>
      <c r="D46" s="80" t="inlineStr">
        <is>
          <t>https://www.aibites.press/article/ai-2040-cult-intelligence</t>
        </is>
      </c>
      <c r="E46" s="81" t="n"/>
      <c r="F46" s="81" t="n"/>
      <c r="G46" s="81" t="n"/>
    </row>
    <row r="47" ht="24" customHeight="1" s="33">
      <c r="B47" s="78" t="n">
        <v>8</v>
      </c>
      <c r="C47" s="79" t="inlineStr">
        <is>
          <t>intelligence.gov portal</t>
        </is>
      </c>
      <c r="D47" s="80" t="inlineStr">
        <is>
          <t>https://www.intelligence.gov</t>
        </is>
      </c>
      <c r="E47" s="81" t="n"/>
      <c r="F47" s="81" t="n"/>
      <c r="G47" s="81" t="n"/>
    </row>
    <row r="48" ht="24" customHeight="1" s="33">
      <c r="B48" s="78" t="n">
        <v>9</v>
      </c>
      <c r="C48" s="79" t="inlineStr">
        <is>
          <t>NIC publications index (dni.gov)</t>
        </is>
      </c>
      <c r="D48" s="80" t="inlineStr">
        <is>
          <t>https://www.dni.gov/index.php/who-we-are/organizations/mission-integration/nic/nic-related-menus/nic-related-content/nic-publications</t>
        </is>
      </c>
      <c r="E48" s="81" t="n"/>
      <c r="F48" s="81" t="n"/>
      <c r="G48" s="81" t="n"/>
    </row>
  </sheetData>
  <mergeCells count="25">
    <mergeCell ref="D9:G9"/>
    <mergeCell ref="B7:C7"/>
    <mergeCell ref="D39:G39"/>
    <mergeCell ref="D8:G8"/>
    <mergeCell ref="D42:G42"/>
    <mergeCell ref="B38:G38"/>
    <mergeCell ref="D44:G44"/>
    <mergeCell ref="D10:G10"/>
    <mergeCell ref="B3:H3"/>
    <mergeCell ref="B8:C8"/>
    <mergeCell ref="D46:G46"/>
    <mergeCell ref="D40:G40"/>
    <mergeCell ref="D45:G45"/>
    <mergeCell ref="B5:G5"/>
    <mergeCell ref="D6:G6"/>
    <mergeCell ref="B10:C10"/>
    <mergeCell ref="B2:H2"/>
    <mergeCell ref="B9:C9"/>
    <mergeCell ref="B6:C6"/>
    <mergeCell ref="D41:G41"/>
    <mergeCell ref="D48:G48"/>
    <mergeCell ref="D47:G47"/>
    <mergeCell ref="D7:G7"/>
    <mergeCell ref="B12:G12"/>
    <mergeCell ref="D43:G43"/>
  </mergeCells>
  <hyperlinks>
    <hyperlink xmlns:r="http://schemas.openxmlformats.org/officeDocument/2006/relationships" ref="G14" r:id="rId1"/>
    <hyperlink xmlns:r="http://schemas.openxmlformats.org/officeDocument/2006/relationships" ref="G15" r:id="rId2"/>
    <hyperlink xmlns:r="http://schemas.openxmlformats.org/officeDocument/2006/relationships" ref="G16" r:id="rId3"/>
    <hyperlink xmlns:r="http://schemas.openxmlformats.org/officeDocument/2006/relationships" ref="G17" r:id="rId4"/>
    <hyperlink xmlns:r="http://schemas.openxmlformats.org/officeDocument/2006/relationships" ref="G18" r:id="rId5"/>
    <hyperlink xmlns:r="http://schemas.openxmlformats.org/officeDocument/2006/relationships" ref="G19" r:id="rId6"/>
    <hyperlink xmlns:r="http://schemas.openxmlformats.org/officeDocument/2006/relationships" ref="G20" r:id="rId7"/>
    <hyperlink xmlns:r="http://schemas.openxmlformats.org/officeDocument/2006/relationships" ref="G21" r:id="rId8"/>
    <hyperlink xmlns:r="http://schemas.openxmlformats.org/officeDocument/2006/relationships" ref="G22" r:id="rId9"/>
    <hyperlink xmlns:r="http://schemas.openxmlformats.org/officeDocument/2006/relationships" ref="G23" r:id="rId10"/>
    <hyperlink xmlns:r="http://schemas.openxmlformats.org/officeDocument/2006/relationships" ref="G24" r:id="rId11"/>
    <hyperlink xmlns:r="http://schemas.openxmlformats.org/officeDocument/2006/relationships" ref="G25" r:id="rId12"/>
    <hyperlink xmlns:r="http://schemas.openxmlformats.org/officeDocument/2006/relationships" ref="G26" r:id="rId13"/>
    <hyperlink xmlns:r="http://schemas.openxmlformats.org/officeDocument/2006/relationships" ref="G27" r:id="rId14"/>
    <hyperlink xmlns:r="http://schemas.openxmlformats.org/officeDocument/2006/relationships" ref="G28" r:id="rId15"/>
    <hyperlink xmlns:r="http://schemas.openxmlformats.org/officeDocument/2006/relationships" ref="G29" r:id="rId16"/>
    <hyperlink xmlns:r="http://schemas.openxmlformats.org/officeDocument/2006/relationships" ref="G30" r:id="rId17"/>
    <hyperlink xmlns:r="http://schemas.openxmlformats.org/officeDocument/2006/relationships" ref="G31" r:id="rId18"/>
    <hyperlink xmlns:r="http://schemas.openxmlformats.org/officeDocument/2006/relationships" ref="G32" r:id="rId19"/>
    <hyperlink xmlns:r="http://schemas.openxmlformats.org/officeDocument/2006/relationships" ref="G33" r:id="rId20"/>
    <hyperlink xmlns:r="http://schemas.openxmlformats.org/officeDocument/2006/relationships" ref="G34" r:id="rId21"/>
    <hyperlink xmlns:r="http://schemas.openxmlformats.org/officeDocument/2006/relationships" ref="G35" r:id="rId22"/>
    <hyperlink xmlns:r="http://schemas.openxmlformats.org/officeDocument/2006/relationships" ref="G36" r:id="rId23"/>
    <hyperlink xmlns:r="http://schemas.openxmlformats.org/officeDocument/2006/relationships" ref="D40" r:id="rId24"/>
    <hyperlink xmlns:r="http://schemas.openxmlformats.org/officeDocument/2006/relationships" ref="D41" r:id="rId25"/>
    <hyperlink xmlns:r="http://schemas.openxmlformats.org/officeDocument/2006/relationships" ref="D42" r:id="rId26"/>
    <hyperlink xmlns:r="http://schemas.openxmlformats.org/officeDocument/2006/relationships" ref="D43" r:id="rId27"/>
    <hyperlink xmlns:r="http://schemas.openxmlformats.org/officeDocument/2006/relationships" ref="D44" r:id="rId28"/>
    <hyperlink xmlns:r="http://schemas.openxmlformats.org/officeDocument/2006/relationships" ref="D45" r:id="rId29"/>
    <hyperlink xmlns:r="http://schemas.openxmlformats.org/officeDocument/2006/relationships" ref="D46" r:id="rId30"/>
    <hyperlink xmlns:r="http://schemas.openxmlformats.org/officeDocument/2006/relationships" ref="D47" r:id="rId31"/>
    <hyperlink xmlns:r="http://schemas.openxmlformats.org/officeDocument/2006/relationships" ref="D48" r:id="rId32"/>
  </hyperlinks>
  <pageMargins left="0.3" right="0.3" top="0.4" bottom="0.4" header="0.2" footer="0.2"/>
  <pageSetup orientation="landscape" fitToHeight="0" fitToWidth="1"/>
</worksheet>
</file>

<file path=xl/worksheets/sheet4.xml><?xml version="1.0" encoding="utf-8"?>
<worksheet xmlns="http://schemas.openxmlformats.org/spreadsheetml/2006/main">
  <sheetPr filterMode="0">
    <outlinePr summaryBelow="1" summaryRight="1"/>
    <pageSetUpPr fitToPage="1"/>
  </sheetPr>
  <dimension ref="B2:D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outlineLevelCol="0"/>
  <cols>
    <col width="2.5" customWidth="1" style="32" min="1" max="1"/>
    <col width="5" customWidth="1" style="32" min="2" max="2"/>
    <col width="20" customWidth="1" style="32" min="3" max="3"/>
    <col width="95" customWidth="1" style="32" min="4" max="4"/>
  </cols>
  <sheetData>
    <row r="2" ht="21.75" customHeight="1" s="33">
      <c r="B2" s="34" t="inlineStr">
        <is>
          <t>2026 Annual Threat Assessment of the U.S. Intelligence Community</t>
        </is>
      </c>
    </row>
    <row r="3" ht="27.75" customHeight="1" s="33">
      <c r="B3" s="63" t="inlineStr">
        <is>
          <t>Source: ODNI / intelligence.gov  |  Date: Mar 26, 2026  |  Horizon: 2026 forward  |  URL: https://www.dni.gov/index.php/newsroom/press-releases/press-releases-2026/4142-pr-03-26</t>
        </is>
      </c>
    </row>
    <row r="5" ht="15" customHeight="1" s="33">
      <c r="B5" s="64" t="inlineStr">
        <is>
          <t>#</t>
        </is>
      </c>
      <c r="C5" s="64" t="inlineStr">
        <is>
          <t>Category</t>
        </is>
      </c>
      <c r="D5" s="64" t="inlineStr">
        <is>
          <t>Forecasted Change / Threat / Event (2026+)</t>
        </is>
      </c>
    </row>
    <row r="6" ht="15" customHeight="1" s="33">
      <c r="B6" s="37" t="n">
        <v>1</v>
      </c>
      <c r="C6" s="58" t="inlineStr">
        <is>
          <t>WMD / Missiles</t>
        </is>
      </c>
      <c r="D6" s="38" t="inlineStr">
        <is>
          <t>Homeland missile threat expands collectively to &gt;16,000 missiles by 2035, up from &gt;3,000 today (Russia, China, NK, Iran, Pakistan).</t>
        </is>
      </c>
    </row>
    <row r="7" ht="15" customHeight="1" s="33">
      <c r="B7" s="37" t="n">
        <v>2</v>
      </c>
      <c r="C7" s="58" t="inlineStr">
        <is>
          <t>WMD / Missiles</t>
        </is>
      </c>
      <c r="D7" s="38" t="inlineStr">
        <is>
          <t>Iran could begin developing a militarily viable ICBM before 2035, should Tehran pursue it.</t>
        </is>
      </c>
    </row>
    <row r="8" ht="22.35" customHeight="1" s="33">
      <c r="B8" s="37" t="n">
        <v>3</v>
      </c>
      <c r="C8" s="58" t="inlineStr">
        <is>
          <t>Space</t>
        </is>
      </c>
      <c r="D8" s="38" t="inlineStr">
        <is>
          <t>China and Russia developing advanced counterspace capabilities to challenge US space efforts; Russia fielding a satellite intended to carry a nuclear weapon as an anti-satellite system.</t>
        </is>
      </c>
    </row>
    <row r="9" ht="15" customHeight="1" s="33">
      <c r="B9" s="37" t="n">
        <v>4</v>
      </c>
      <c r="C9" s="58" t="inlineStr">
        <is>
          <t>WMD</t>
        </is>
      </c>
      <c r="D9" s="38" t="inlineStr">
        <is>
          <t>Nuclear proliferation and advancing chemical/biological warfare capabilities continue to grow.</t>
        </is>
      </c>
    </row>
    <row r="10" ht="15" customHeight="1" s="33">
      <c r="B10" s="37" t="n">
        <v>5</v>
      </c>
      <c r="C10" s="58" t="inlineStr">
        <is>
          <t>Conflict</t>
        </is>
      </c>
      <c r="D10" s="38" t="inlineStr">
        <is>
          <t>Armed conflict growing more common; strategic competition and regional powers more willing to use force.</t>
        </is>
      </c>
    </row>
    <row r="11" ht="15" customHeight="1" s="33">
      <c r="B11" s="37" t="n">
        <v>6</v>
      </c>
      <c r="C11" s="58" t="inlineStr">
        <is>
          <t>Geopolitics</t>
        </is>
      </c>
      <c r="D11" s="38" t="inlineStr">
        <is>
          <t>China building capability to seize Taiwan by force if necessary, but IC assesses Beijing likely seeks peaceful reunification short of conflict.</t>
        </is>
      </c>
    </row>
    <row r="12" ht="22.35" customHeight="1" s="33">
      <c r="B12" s="37" t="n">
        <v>7</v>
      </c>
      <c r="C12" s="58" t="inlineStr">
        <is>
          <t>Cyber</t>
        </is>
      </c>
      <c r="D12" s="38" t="inlineStr">
        <is>
          <t>China, Russia, Iran, North Korea and ransomware groups continue compromising US government and private-sector networks and critical infrastructure.</t>
        </is>
      </c>
    </row>
    <row r="13" ht="15" customHeight="1" s="33">
      <c r="B13" s="37" t="n">
        <v>8</v>
      </c>
      <c r="C13" s="58" t="inlineStr">
        <is>
          <t>WMD</t>
        </is>
      </c>
      <c r="D13" s="38" t="inlineStr">
        <is>
          <t>North Korea expanding nuclear warhead stockpile and missiles that can evade US/regional defenses; maintains bio/chem capabilities.</t>
        </is>
      </c>
    </row>
    <row r="14" ht="15" customHeight="1" s="33">
      <c r="B14" s="37" t="n">
        <v>9</v>
      </c>
      <c r="C14" s="58" t="inlineStr">
        <is>
          <t>Crime / Health</t>
        </is>
      </c>
      <c r="D14" s="38" t="inlineStr">
        <is>
          <t>Fentanyl-related overdose deaths down ~30% (Sep 2024-Sep 2025); fentanyl potency decreasing due to supply-chain disruption.</t>
        </is>
      </c>
    </row>
    <row r="15" ht="15" customHeight="1" s="33">
      <c r="B15" s="37" t="n">
        <v>10</v>
      </c>
      <c r="C15" s="58" t="inlineStr">
        <is>
          <t>Border</t>
        </is>
      </c>
      <c r="D15" s="38" t="inlineStr">
        <is>
          <t>Illegal southwest border encounters down 83.8% (Jan 2026 vs Jan 2025); enforcement as deterrent.</t>
        </is>
      </c>
    </row>
    <row r="16" ht="15" customHeight="1" s="33">
      <c r="B16" s="37" t="n">
        <v>11</v>
      </c>
      <c r="C16" s="58" t="inlineStr">
        <is>
          <t>Terrorism</t>
        </is>
      </c>
      <c r="D16" s="38" t="inlineStr">
        <is>
          <t>Transnational Islamist terrorism (ISIS, Al-Qaeda) persists but remains weaker than at peak.</t>
        </is>
      </c>
    </row>
    <row r="17" ht="22.35" customHeight="1" s="33">
      <c r="B17" s="37" t="n">
        <v>12</v>
      </c>
      <c r="C17" s="58" t="inlineStr">
        <is>
          <t>WMD</t>
        </is>
      </c>
      <c r="D17" s="38" t="inlineStr">
        <is>
          <t>Iran's nuclear enrichment program 'obliterated' by 2026 strikes (Operation Midnight Hammer); no rebuild efforts observed; facilities shuttered.</t>
        </is>
      </c>
    </row>
    <row r="18" ht="22.35" customHeight="1" s="33">
      <c r="B18" s="37" t="n">
        <v>13</v>
      </c>
      <c r="C18" s="58" t="inlineStr">
        <is>
          <t>Conflict</t>
        </is>
      </c>
      <c r="D18" s="38" t="inlineStr">
        <is>
          <t>African conflicts likely to persist through 2026 due to poor governance, economic demands, and external support (e.g., Ethiopia-Eritrea tensions).</t>
        </is>
      </c>
    </row>
    <row r="20" ht="15" customHeight="1" s="33">
      <c r="B20" s="48" t="inlineStr">
        <is>
          <t>Cross-reference: events from this report are aggregated and forecasted (probability + timeline) on the 'Comprehensive Report' tab and tallied on the 'Analysis (Cross-Tally)' tab.</t>
        </is>
      </c>
    </row>
    <row r="21" ht="15" customHeight="1" s="33"/>
  </sheetData>
  <mergeCells count="3">
    <mergeCell ref="B20:D21"/>
    <mergeCell ref="B3:D3"/>
    <mergeCell ref="B2:D2"/>
  </mergeCells>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B2:D2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outlineLevelCol="0"/>
  <cols>
    <col width="2.5" customWidth="1" style="32" min="1" max="1"/>
    <col width="5" customWidth="1" style="32" min="2" max="2"/>
    <col width="20" customWidth="1" style="32" min="3" max="3"/>
    <col width="95" customWidth="1" style="32" min="4" max="4"/>
  </cols>
  <sheetData>
    <row r="2" ht="21.75" customHeight="1" s="33">
      <c r="B2" s="34" t="inlineStr">
        <is>
          <t>Global Trends 2040: A More Contested World</t>
        </is>
      </c>
    </row>
    <row r="3" ht="27.75" customHeight="1" s="33">
      <c r="B3" s="63" t="inlineStr">
        <is>
          <t>Source: National Intelligence Council (DNI)  |  Date: 2021  |  Horizon: 2026 forward  |  URL: https://www.dni.gov/index.php/who-we-are/organizations/mission-integration/nic/nic-related-menus/nic-related-content/nic-publications</t>
        </is>
      </c>
    </row>
    <row r="5" ht="15" customHeight="1" s="33">
      <c r="B5" s="64" t="inlineStr">
        <is>
          <t>#</t>
        </is>
      </c>
      <c r="C5" s="64" t="inlineStr">
        <is>
          <t>Category</t>
        </is>
      </c>
      <c r="D5" s="64" t="inlineStr">
        <is>
          <t>Forecasted Change / Threat / Event (2026+)</t>
        </is>
      </c>
    </row>
    <row r="6" ht="15" customHeight="1" s="33">
      <c r="B6" s="37" t="n">
        <v>1</v>
      </c>
      <c r="C6" s="58" t="inlineStr">
        <is>
          <t>Demographics</t>
        </is>
      </c>
      <c r="D6" s="38" t="inlineStr">
        <is>
          <t>Demographic divergence: aging rich nations vs youthful developing nations.</t>
        </is>
      </c>
    </row>
    <row r="7" ht="15" customHeight="1" s="33">
      <c r="B7" s="37" t="n">
        <v>2</v>
      </c>
      <c r="C7" s="58" t="inlineStr">
        <is>
          <t>Climate / Resources</t>
        </is>
      </c>
      <c r="D7" s="38" t="inlineStr">
        <is>
          <t>Environmental pressures strain food, water, and energy systems through 2040.</t>
        </is>
      </c>
    </row>
    <row r="8" ht="15" customHeight="1" s="33">
      <c r="B8" s="37" t="n">
        <v>3</v>
      </c>
      <c r="C8" s="58" t="inlineStr">
        <is>
          <t>Economics</t>
        </is>
      </c>
      <c r="D8" s="38" t="inlineStr">
        <is>
          <t>Economic inequality and debt strain governance and growth.</t>
        </is>
      </c>
    </row>
    <row r="9" ht="15" customHeight="1" s="33">
      <c r="B9" s="37" t="n">
        <v>4</v>
      </c>
      <c r="C9" s="58" t="inlineStr">
        <is>
          <t>Technology</t>
        </is>
      </c>
      <c r="D9" s="38" t="inlineStr">
        <is>
          <t>AI and emerging technologies accelerate disruption of economy, governance, and military.</t>
        </is>
      </c>
    </row>
    <row r="10" ht="15" customHeight="1" s="33">
      <c r="B10" s="37" t="n">
        <v>5</v>
      </c>
      <c r="C10" s="58" t="inlineStr">
        <is>
          <t>Society</t>
        </is>
      </c>
      <c r="D10" s="38" t="inlineStr">
        <is>
          <t>Societal fragmentation (inequality, eroded information environment) undermines governance.</t>
        </is>
      </c>
    </row>
    <row r="11" ht="15" customHeight="1" s="33">
      <c r="B11" s="37" t="n">
        <v>6</v>
      </c>
      <c r="C11" s="58" t="inlineStr">
        <is>
          <t>Geopolitics</t>
        </is>
      </c>
      <c r="D11" s="38" t="inlineStr">
        <is>
          <t>US-China competition intensifies across economic, military, and technological domains.</t>
        </is>
      </c>
    </row>
    <row r="12" ht="15" customHeight="1" s="33">
      <c r="B12" s="37" t="n">
        <v>7</v>
      </c>
      <c r="C12" s="58" t="inlineStr">
        <is>
          <t>Order</t>
        </is>
      </c>
      <c r="D12" s="38" t="inlineStr">
        <is>
          <t>Post-Cold War international order erodes; 'cascading uncertainty' through 2040.</t>
        </is>
      </c>
    </row>
    <row r="13" ht="15" customHeight="1" s="33">
      <c r="B13" s="37" t="n">
        <v>8</v>
      </c>
      <c r="C13" s="58" t="inlineStr">
        <is>
          <t>Scenario (best)</t>
        </is>
      </c>
      <c r="D13" s="38" t="inlineStr">
        <is>
          <t>Renaissance of Democracies - US-led open democracies surge; innovation renews institutional trust.</t>
        </is>
      </c>
    </row>
    <row r="14" ht="15" customHeight="1" s="33">
      <c r="B14" s="37" t="n">
        <v>9</v>
      </c>
      <c r="C14" s="58" t="inlineStr">
        <is>
          <t>Scenario</t>
        </is>
      </c>
      <c r="D14" s="38" t="inlineStr">
        <is>
          <t>A World Adrift - directionless, chaotic international system; OECD nations paralyzed by debt/division.</t>
        </is>
      </c>
    </row>
    <row r="15" ht="15" customHeight="1" s="33">
      <c r="B15" s="37" t="n">
        <v>10</v>
      </c>
      <c r="C15" s="58" t="inlineStr">
        <is>
          <t>Scenario</t>
        </is>
      </c>
      <c r="D15" s="38" t="inlineStr">
        <is>
          <t>Competitive Coexistence - US-China rivalry stabilizes into managed, structured competition.</t>
        </is>
      </c>
    </row>
    <row r="16" ht="15" customHeight="1" s="33">
      <c r="B16" s="37" t="n">
        <v>11</v>
      </c>
      <c r="C16" s="58" t="inlineStr">
        <is>
          <t>Scenario</t>
        </is>
      </c>
      <c r="D16" s="38" t="inlineStr">
        <is>
          <t>Separate Silos - world fractures into regional blocs with reduced connectivity and stalled multilateralism.</t>
        </is>
      </c>
    </row>
    <row r="17" ht="15" customHeight="1" s="33">
      <c r="B17" s="37" t="n">
        <v>12</v>
      </c>
      <c r="C17" s="58" t="inlineStr">
        <is>
          <t>Scenario</t>
        </is>
      </c>
      <c r="D17" s="38" t="inlineStr">
        <is>
          <t>Tragedy and Mobilization - a major global crisis (climate, pandemic, war) triggers unprecedented cooperation.</t>
        </is>
      </c>
    </row>
    <row r="19" ht="15" customHeight="1" s="33">
      <c r="B19" s="48" t="inlineStr">
        <is>
          <t>Cross-reference: events from this report are aggregated and forecasted (probability + timeline) on the 'Comprehensive Report' tab and tallied on the 'Analysis (Cross-Tally)' tab.</t>
        </is>
      </c>
    </row>
    <row r="20" ht="15" customHeight="1" s="33"/>
  </sheetData>
  <mergeCells count="3">
    <mergeCell ref="B3:D3"/>
    <mergeCell ref="B2:D2"/>
    <mergeCell ref="B19:D20"/>
  </mergeCells>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B2:D14"/>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outlineLevelCol="0"/>
  <cols>
    <col width="2.5" customWidth="1" style="32" min="1" max="1"/>
    <col width="5" customWidth="1" style="32" min="2" max="2"/>
    <col width="20" customWidth="1" style="32" min="3" max="3"/>
    <col width="95" customWidth="1" style="32" min="4" max="4"/>
  </cols>
  <sheetData>
    <row r="2" ht="21.75" customHeight="1" s="33">
      <c r="B2" s="34" t="inlineStr">
        <is>
          <t>Global Trends 2035: Paradox of Progress</t>
        </is>
      </c>
    </row>
    <row r="3" ht="27.75" customHeight="1" s="33">
      <c r="B3" s="63" t="inlineStr">
        <is>
          <t>Source: National Intelligence Council (DNI)  |  Date: 2017  |  Horizon: 2026 forward  |  URL: https://www.dni.gov/index.php/who-we-are/organizations/mission-integration/nic/nic-related-menus/nic-related-content/nic-publications</t>
        </is>
      </c>
    </row>
    <row r="5" ht="15" customHeight="1" s="33">
      <c r="B5" s="64" t="inlineStr">
        <is>
          <t>#</t>
        </is>
      </c>
      <c r="C5" s="64" t="inlineStr">
        <is>
          <t>Category</t>
        </is>
      </c>
      <c r="D5" s="64" t="inlineStr">
        <is>
          <t>Forecasted Change / Threat / Event (2026+)</t>
        </is>
      </c>
    </row>
    <row r="6" ht="15" customHeight="1" s="33">
      <c r="B6" s="37" t="n">
        <v>1</v>
      </c>
      <c r="C6" s="58" t="inlineStr">
        <is>
          <t>Scenario</t>
        </is>
      </c>
      <c r="D6" s="38" t="inlineStr">
        <is>
          <t>Islands - fragmentation intensifies; states turn inward and become security-focused, reducing cooperation.</t>
        </is>
      </c>
    </row>
    <row r="7" ht="15" customHeight="1" s="33">
      <c r="B7" s="37" t="n">
        <v>2</v>
      </c>
      <c r="C7" s="58" t="inlineStr">
        <is>
          <t>Scenario</t>
        </is>
      </c>
      <c r="D7" s="38" t="inlineStr">
        <is>
          <t>Orbits - world organizes into competing great-power spheres of influence.</t>
        </is>
      </c>
    </row>
    <row r="8" ht="15" customHeight="1" s="33">
      <c r="B8" s="37" t="n">
        <v>3</v>
      </c>
      <c r="C8" s="58" t="inlineStr">
        <is>
          <t>Scenario</t>
        </is>
      </c>
      <c r="D8" s="38" t="inlineStr">
        <is>
          <t>Communities - bottom-up order where non-state actors and subnational communities drive change and cooperation.</t>
        </is>
      </c>
    </row>
    <row r="10" ht="15" customHeight="1" s="33">
      <c r="B10" s="48" t="inlineStr">
        <is>
          <t>Cross-reference: events from this report are aggregated and forecasted (probability + timeline) on the 'Comprehensive Report' tab and tallied on the 'Analysis (Cross-Tally)' tab.</t>
        </is>
      </c>
    </row>
    <row r="11" ht="15" customHeight="1" s="33"/>
    <row r="13" ht="15" customHeight="1" s="33">
      <c r="B13" s="65" t="inlineStr">
        <is>
          <t>Verification note: Public title/scope-derived themes. The three scenario names (Islands, Orbits, Communities) reflect the report's existence as listed on the NIC publications page but were not verified against the primary GT 2035 PDF in this session; treat specific scenario labels as indicative, not confirmed.</t>
        </is>
      </c>
    </row>
    <row r="14" ht="15" customHeight="1" s="33"/>
  </sheetData>
  <mergeCells count="4">
    <mergeCell ref="B2:D2"/>
    <mergeCell ref="B3:D3"/>
    <mergeCell ref="B13:D14"/>
    <mergeCell ref="B10:D11"/>
  </mergeCells>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B2:D2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outlineLevelCol="0"/>
  <cols>
    <col width="2.5" customWidth="1" style="32" min="1" max="1"/>
    <col width="5" customWidth="1" style="32" min="2" max="2"/>
    <col width="20" customWidth="1" style="32" min="3" max="3"/>
    <col width="95" customWidth="1" style="32" min="4" max="4"/>
  </cols>
  <sheetData>
    <row r="2" ht="21.75" customHeight="1" s="33">
      <c r="B2" s="34" t="inlineStr">
        <is>
          <t>Global Trends 2030: Alternative Worlds</t>
        </is>
      </c>
    </row>
    <row r="3" ht="27.75" customHeight="1" s="33">
      <c r="B3" s="63" t="inlineStr">
        <is>
          <t>Source: National Intelligence Council (DNI)  |  Date: 2012  |  Horizon: 2026 forward  |  URL: https://www.dni.gov/files/documents/GlobalTrends_2030.pdf</t>
        </is>
      </c>
    </row>
    <row r="5" ht="15" customHeight="1" s="33">
      <c r="B5" s="64" t="inlineStr">
        <is>
          <t>#</t>
        </is>
      </c>
      <c r="C5" s="64" t="inlineStr">
        <is>
          <t>Category</t>
        </is>
      </c>
      <c r="D5" s="64" t="inlineStr">
        <is>
          <t>Forecasted Change / Threat / Event (2026+)</t>
        </is>
      </c>
    </row>
    <row r="6" ht="15" customHeight="1" s="33">
      <c r="B6" s="37" t="n">
        <v>1</v>
      </c>
      <c r="C6" s="58" t="inlineStr">
        <is>
          <t>Society / Tech</t>
        </is>
      </c>
      <c r="D6" s="38" t="inlineStr">
        <is>
          <t>Individual empowerment accelerates, enabled by technology.</t>
        </is>
      </c>
    </row>
    <row r="7" ht="15" customHeight="1" s="33">
      <c r="B7" s="37" t="n">
        <v>2</v>
      </c>
      <c r="C7" s="58" t="inlineStr">
        <is>
          <t>Order</t>
        </is>
      </c>
      <c r="D7" s="38" t="inlineStr">
        <is>
          <t>Diffusion of power from states to non-state and multinational actors.</t>
        </is>
      </c>
    </row>
    <row r="8" ht="15" customHeight="1" s="33">
      <c r="B8" s="37" t="n">
        <v>3</v>
      </c>
      <c r="C8" s="58" t="inlineStr">
        <is>
          <t>Demographics</t>
        </is>
      </c>
      <c r="D8" s="38" t="inlineStr">
        <is>
          <t>Demographic patterns: aging powers, youth bulges, migration.</t>
        </is>
      </c>
    </row>
    <row r="9" ht="15" customHeight="1" s="33">
      <c r="B9" s="37" t="n">
        <v>4</v>
      </c>
      <c r="C9" s="58" t="inlineStr">
        <is>
          <t>Climate / Resources</t>
        </is>
      </c>
      <c r="D9" s="38" t="inlineStr">
        <is>
          <t>Food, water, and energy nexus under strain.</t>
        </is>
      </c>
    </row>
    <row r="10" ht="15" customHeight="1" s="33">
      <c r="B10" s="37" t="n">
        <v>5</v>
      </c>
      <c r="C10" s="58" t="inlineStr">
        <is>
          <t>Economics</t>
        </is>
      </c>
      <c r="D10" s="38" t="inlineStr">
        <is>
          <t>Crisis-prone global economy.</t>
        </is>
      </c>
    </row>
    <row r="11" ht="15" customHeight="1" s="33">
      <c r="B11" s="37" t="n">
        <v>6</v>
      </c>
      <c r="C11" s="58" t="inlineStr">
        <is>
          <t>Governance</t>
        </is>
      </c>
      <c r="D11" s="38" t="inlineStr">
        <is>
          <t>Governance gaps widen as challenges outpace institutional capacity.</t>
        </is>
      </c>
    </row>
    <row r="12" ht="15" customHeight="1" s="33">
      <c r="B12" s="37" t="n">
        <v>7</v>
      </c>
      <c r="C12" s="58" t="inlineStr">
        <is>
          <t>Conflict</t>
        </is>
      </c>
      <c r="D12" s="38" t="inlineStr">
        <is>
          <t>Potential for increased intrastate and interstate conflict.</t>
        </is>
      </c>
    </row>
    <row r="13" ht="15" customHeight="1" s="33">
      <c r="B13" s="37" t="n">
        <v>8</v>
      </c>
      <c r="C13" s="58" t="inlineStr">
        <is>
          <t>WMD</t>
        </is>
      </c>
      <c r="D13" s="38" t="inlineStr">
        <is>
          <t>Wider regional nuclear proliferation (Middle East, East Asia).</t>
        </is>
      </c>
    </row>
    <row r="14" ht="15" customHeight="1" s="33">
      <c r="B14" s="37" t="n">
        <v>9</v>
      </c>
      <c r="C14" s="58" t="inlineStr">
        <is>
          <t>Scenario (worst)</t>
        </is>
      </c>
      <c r="D14" s="38" t="inlineStr">
        <is>
          <t>Stalled Engines - globalization stalls; US draws inward; interstate conflict rises.</t>
        </is>
      </c>
    </row>
    <row r="15" ht="15" customHeight="1" s="33">
      <c r="B15" s="37" t="n">
        <v>10</v>
      </c>
      <c r="C15" s="58" t="inlineStr">
        <is>
          <t>Scenario (best)</t>
        </is>
      </c>
      <c r="D15" s="38" t="inlineStr">
        <is>
          <t>Fusion - US-China collaboration spurs broader global cooperation.</t>
        </is>
      </c>
    </row>
    <row r="16" ht="15" customHeight="1" s="33">
      <c r="B16" s="37" t="n">
        <v>11</v>
      </c>
      <c r="C16" s="58" t="inlineStr">
        <is>
          <t>Scenario</t>
        </is>
      </c>
      <c r="D16" s="38" t="inlineStr">
        <is>
          <t>Gini-Out-of-the-Bottle - inequalities explode within and between countries.</t>
        </is>
      </c>
    </row>
    <row r="17" ht="15" customHeight="1" s="33">
      <c r="B17" s="37" t="n">
        <v>12</v>
      </c>
      <c r="C17" s="58" t="inlineStr">
        <is>
          <t>Scenario</t>
        </is>
      </c>
      <c r="D17" s="38" t="inlineStr">
        <is>
          <t>Nonstate World - non-state actors take the lead on global challenges.</t>
        </is>
      </c>
    </row>
    <row r="19" ht="15" customHeight="1" s="33">
      <c r="B19" s="48" t="inlineStr">
        <is>
          <t>Cross-reference: events from this report are aggregated and forecasted (probability + timeline) on the 'Comprehensive Report' tab and tallied on the 'Analysis (Cross-Tally)' tab.</t>
        </is>
      </c>
    </row>
    <row r="20" ht="15" customHeight="1" s="33"/>
  </sheetData>
  <mergeCells count="3">
    <mergeCell ref="B3:D3"/>
    <mergeCell ref="B2:D2"/>
    <mergeCell ref="B19:D20"/>
  </mergeCells>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B2:D14"/>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outlineLevelCol="0"/>
  <cols>
    <col width="2.5" customWidth="1" style="32" min="1" max="1"/>
    <col width="5" customWidth="1" style="32" min="2" max="2"/>
    <col width="20" customWidth="1" style="32" min="3" max="3"/>
    <col width="95" customWidth="1" style="32" min="4" max="4"/>
  </cols>
  <sheetData>
    <row r="2" ht="21.75" customHeight="1" s="33">
      <c r="B2" s="34" t="inlineStr">
        <is>
          <t>NIE: North Korea - Scenarios for Leveraging Nuclear Weapons Through 2030</t>
        </is>
      </c>
    </row>
    <row r="3" ht="27.75" customHeight="1" s="33">
      <c r="B3" s="63" t="inlineStr">
        <is>
          <t>Source: National Intelligence Council (DNI)  |  Date: 2023  |  Horizon: 2026 forward  |  URL: https://www.dni.gov/index.php/who-we-are/organizations/mission-integration/nic/nic-related-menus/nic-related-content/nic-publications</t>
        </is>
      </c>
    </row>
    <row r="5" ht="15" customHeight="1" s="33">
      <c r="B5" s="64" t="inlineStr">
        <is>
          <t>#</t>
        </is>
      </c>
      <c r="C5" s="64" t="inlineStr">
        <is>
          <t>Category</t>
        </is>
      </c>
      <c r="D5" s="64" t="inlineStr">
        <is>
          <t>Forecasted Change / Threat / Event (2026+)</t>
        </is>
      </c>
    </row>
    <row r="6" ht="15" customHeight="1" s="33">
      <c r="B6" s="37" t="n">
        <v>1</v>
      </c>
      <c r="C6" s="58" t="inlineStr">
        <is>
          <t>WMD</t>
        </is>
      </c>
      <c r="D6" s="38" t="inlineStr">
        <is>
          <t>North Korean scenarios for coercive leverage or use of nuclear weapons through 2030.</t>
        </is>
      </c>
    </row>
    <row r="7" ht="15" customHeight="1" s="33">
      <c r="B7" s="37" t="n">
        <v>2</v>
      </c>
      <c r="C7" s="58" t="inlineStr">
        <is>
          <t>WMD</t>
        </is>
      </c>
      <c r="D7" s="38" t="inlineStr">
        <is>
          <t>Warhead stockpile growth and missiles designed to evade US/regional missile defenses.</t>
        </is>
      </c>
    </row>
    <row r="8" ht="15" customHeight="1" s="33">
      <c r="B8" s="37" t="n">
        <v>3</v>
      </c>
      <c r="C8" s="58" t="inlineStr">
        <is>
          <t>WMD</t>
        </is>
      </c>
      <c r="D8" s="38" t="inlineStr">
        <is>
          <t>Potential asymmetric, biological, or chemical weapons use in conflict.</t>
        </is>
      </c>
    </row>
    <row r="10" ht="15" customHeight="1" s="33">
      <c r="B10" s="48" t="inlineStr">
        <is>
          <t>Cross-reference: events from this report are aggregated and forecasted (probability + timeline) on the 'Comprehensive Report' tab and tallied on the 'Analysis (Cross-Tally)' tab.</t>
        </is>
      </c>
    </row>
    <row r="11" ht="15" customHeight="1" s="33"/>
    <row r="13" ht="15" customHeight="1" s="33">
      <c r="B13" s="65" t="inlineStr">
        <is>
          <t>Verification note: Public title/scope-derived themes. Listed items reflect the assessment's declassified scope/title, not extraction of the classified full text; specific claims should be verified against the declassified NIE/NICA key judgments before citation.</t>
        </is>
      </c>
    </row>
    <row r="14" ht="15" customHeight="1" s="33"/>
  </sheetData>
  <mergeCells count="4">
    <mergeCell ref="B2:D2"/>
    <mergeCell ref="B3:D3"/>
    <mergeCell ref="B13:D14"/>
    <mergeCell ref="B10:D11"/>
  </mergeCells>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B2:D13"/>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outlineLevelCol="0"/>
  <cols>
    <col width="2.5" customWidth="1" style="32" min="1" max="1"/>
    <col width="5" customWidth="1" style="32" min="2" max="2"/>
    <col width="20" customWidth="1" style="32" min="3" max="3"/>
    <col width="95" customWidth="1" style="32" min="4" max="4"/>
  </cols>
  <sheetData>
    <row r="2" ht="21.75" customHeight="1" s="33">
      <c r="B2" s="34" t="inlineStr">
        <is>
          <t>NIE: Conflict in the Gray Zone - A Prevailing Geopolitical Dynamic Through 2030</t>
        </is>
      </c>
    </row>
    <row r="3" ht="27.75" customHeight="1" s="33">
      <c r="B3" s="63" t="inlineStr">
        <is>
          <t>Source: National Intelligence Council (DNI)  |  Date: 2024  |  Horizon: 2026 forward  |  URL: https://www.dni.gov/index.php/who-we-are/organizations/mission-integration/nic/nic-related-menus/nic-related-content/nic-publications</t>
        </is>
      </c>
    </row>
    <row r="5" ht="15" customHeight="1" s="33">
      <c r="B5" s="64" t="inlineStr">
        <is>
          <t>#</t>
        </is>
      </c>
      <c r="C5" s="64" t="inlineStr">
        <is>
          <t>Category</t>
        </is>
      </c>
      <c r="D5" s="64" t="inlineStr">
        <is>
          <t>Forecasted Change / Threat / Event (2026+)</t>
        </is>
      </c>
    </row>
    <row r="6" ht="15" customHeight="1" s="33">
      <c r="B6" s="37" t="n">
        <v>1</v>
      </c>
      <c r="C6" s="58" t="inlineStr">
        <is>
          <t>Conflict</t>
        </is>
      </c>
      <c r="D6" s="38" t="inlineStr">
        <is>
          <t>Gray-zone (below-threshold) competition becomes the prevailing geopolitical dynamic through 2030.</t>
        </is>
      </c>
    </row>
    <row r="7" ht="15" customHeight="1" s="33">
      <c r="B7" s="37" t="n">
        <v>2</v>
      </c>
      <c r="C7" s="58" t="inlineStr">
        <is>
          <t>Conflict</t>
        </is>
      </c>
      <c r="D7" s="38" t="inlineStr">
        <is>
          <t>Cyber, proxy, economic-coercion, and influence operations intensify short of armed conflict.</t>
        </is>
      </c>
    </row>
    <row r="9" ht="15" customHeight="1" s="33">
      <c r="B9" s="48" t="inlineStr">
        <is>
          <t>Cross-reference: events from this report are aggregated and forecasted (probability + timeline) on the 'Comprehensive Report' tab and tallied on the 'Analysis (Cross-Tally)' tab.</t>
        </is>
      </c>
    </row>
    <row r="10" ht="15" customHeight="1" s="33"/>
    <row r="12" ht="15" customHeight="1" s="33">
      <c r="B12" s="65" t="inlineStr">
        <is>
          <t>Verification note: Public title/scope-derived themes. Listed items reflect the assessment's declassified scope/title, not extraction of the classified full text; specific claims should be verified against the declassified NIE/NICA key judgments before citation.</t>
        </is>
      </c>
    </row>
    <row r="13" ht="15" customHeight="1" s="33"/>
  </sheetData>
  <mergeCells count="4">
    <mergeCell ref="B3:D3"/>
    <mergeCell ref="B9:D10"/>
    <mergeCell ref="B2:D2"/>
    <mergeCell ref="B12:D13"/>
  </mergeCells>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B2:D12"/>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outlineLevelCol="0"/>
  <cols>
    <col width="2.5" customWidth="1" style="32" min="1" max="1"/>
    <col width="5" customWidth="1" style="32" min="2" max="2"/>
    <col width="20" customWidth="1" style="32" min="3" max="3"/>
    <col width="95" customWidth="1" style="32" min="4" max="4"/>
  </cols>
  <sheetData>
    <row r="2" ht="21.75" customHeight="1" s="33">
      <c r="B2" s="34" t="inlineStr">
        <is>
          <t>NIE: Chinese Space Activities Will Increasingly Challenge U.S. Interests Through 2030</t>
        </is>
      </c>
    </row>
    <row r="3" ht="27.75" customHeight="1" s="33">
      <c r="B3" s="63" t="inlineStr">
        <is>
          <t>Source: National Intelligence Council (DNI)  |  Date: 2021  |  Horizon: 2026 forward  |  URL: https://www.dni.gov/index.php/who-we-are/organizations/mission-integration/nic/nic-related-menus/nic-related-content/nic-publications</t>
        </is>
      </c>
    </row>
    <row r="5" ht="15" customHeight="1" s="33">
      <c r="B5" s="64" t="inlineStr">
        <is>
          <t>#</t>
        </is>
      </c>
      <c r="C5" s="64" t="inlineStr">
        <is>
          <t>Category</t>
        </is>
      </c>
      <c r="D5" s="64" t="inlineStr">
        <is>
          <t>Forecasted Change / Threat / Event (2026+)</t>
        </is>
      </c>
    </row>
    <row r="6" ht="15" customHeight="1" s="33">
      <c r="B6" s="37" t="n">
        <v>1</v>
      </c>
      <c r="C6" s="58" t="inlineStr">
        <is>
          <t>Space</t>
        </is>
      </c>
      <c r="D6" s="38" t="inlineStr">
        <is>
          <t>Chinese space and counterspace activities increasingly challenge US interests through 2030 (reconnaissance, ASAT, dual-use).</t>
        </is>
      </c>
    </row>
    <row r="8" ht="15" customHeight="1" s="33">
      <c r="B8" s="48" t="inlineStr">
        <is>
          <t>Cross-reference: events from this report are aggregated and forecasted (probability + timeline) on the 'Comprehensive Report' tab and tallied on the 'Analysis (Cross-Tally)' tab.</t>
        </is>
      </c>
    </row>
    <row r="9" ht="15" customHeight="1" s="33"/>
    <row r="11" ht="15" customHeight="1" s="33">
      <c r="B11" s="65" t="inlineStr">
        <is>
          <t>Verification note: Public title/scope-derived themes. Listed items reflect the assessment's declassified scope/title, not extraction of the classified full text; specific claims should be verified against the declassified NIE/NICA key judgments before citation.</t>
        </is>
      </c>
    </row>
    <row r="12" ht="15" customHeight="1" s="33"/>
  </sheetData>
  <mergeCells count="4">
    <mergeCell ref="B3:D3"/>
    <mergeCell ref="B11:D12"/>
    <mergeCell ref="B2:D2"/>
    <mergeCell ref="B8:D9"/>
  </mergeCells>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B2:D13"/>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outlineLevelCol="0"/>
  <cols>
    <col width="2.5" customWidth="1" style="32" min="1" max="1"/>
    <col width="5" customWidth="1" style="32" min="2" max="2"/>
    <col width="20" customWidth="1" style="32" min="3" max="3"/>
    <col width="95" customWidth="1" style="32" min="4" max="4"/>
  </cols>
  <sheetData>
    <row r="2" ht="21.75" customHeight="1" s="33">
      <c r="B2" s="34" t="inlineStr">
        <is>
          <t>NIE: Dynamics Shaping Global Health Security In the Next Decade</t>
        </is>
      </c>
    </row>
    <row r="3" ht="27.75" customHeight="1" s="33">
      <c r="B3" s="63" t="inlineStr">
        <is>
          <t>Source: National Intelligence Council (DNI)  |  Date: 2024  |  Horizon: 2026 forward  |  URL: https://www.dni.gov/index.php/who-we-are/organizations/mission-integration/nic/nic-related-menus/nic-related-content/nic-publications</t>
        </is>
      </c>
    </row>
    <row r="5" ht="15" customHeight="1" s="33">
      <c r="B5" s="64" t="inlineStr">
        <is>
          <t>#</t>
        </is>
      </c>
      <c r="C5" s="64" t="inlineStr">
        <is>
          <t>Category</t>
        </is>
      </c>
      <c r="D5" s="64" t="inlineStr">
        <is>
          <t>Forecasted Change / Threat / Event (2026+)</t>
        </is>
      </c>
    </row>
    <row r="6" ht="15" customHeight="1" s="33">
      <c r="B6" s="37" t="n">
        <v>1</v>
      </c>
      <c r="C6" s="58" t="inlineStr">
        <is>
          <t>Health</t>
        </is>
      </c>
      <c r="D6" s="38" t="inlineStr">
        <is>
          <t>Pandemic and biosecurity risk drivers shape global health security over the next decade.</t>
        </is>
      </c>
    </row>
    <row r="7" ht="15" customHeight="1" s="33">
      <c r="B7" s="37" t="n">
        <v>2</v>
      </c>
      <c r="C7" s="58" t="inlineStr">
        <is>
          <t>Health</t>
        </is>
      </c>
      <c r="D7" s="38" t="inlineStr">
        <is>
          <t>Zoonotic spillover, synthetic biology, and health-system fragility as converging risk drivers.</t>
        </is>
      </c>
    </row>
    <row r="9" ht="15" customHeight="1" s="33">
      <c r="B9" s="48" t="inlineStr">
        <is>
          <t>Cross-reference: events from this report are aggregated and forecasted (probability + timeline) on the 'Comprehensive Report' tab and tallied on the 'Analysis (Cross-Tally)' tab.</t>
        </is>
      </c>
    </row>
    <row r="10" ht="15" customHeight="1" s="33"/>
    <row r="12" ht="15" customHeight="1" s="33">
      <c r="B12" s="65" t="inlineStr">
        <is>
          <t>Verification note: Public title/scope-derived themes. Listed items reflect the assessment's declassified scope/title, not extraction of the classified full text; specific claims should be verified against the declassified NIE/NICA key judgments before citation.</t>
        </is>
      </c>
    </row>
    <row r="13" ht="15" customHeight="1" s="33"/>
  </sheetData>
  <mergeCells count="4">
    <mergeCell ref="B3:D3"/>
    <mergeCell ref="B9:D10"/>
    <mergeCell ref="B2:D2"/>
    <mergeCell ref="B12:D13"/>
  </mergeCells>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1"/>
  </sheetPr>
  <dimension ref="B2:D13"/>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outlineLevelCol="0"/>
  <cols>
    <col width="2.5" customWidth="1" style="32" min="1" max="1"/>
    <col width="5" customWidth="1" style="32" min="2" max="2"/>
    <col width="20" customWidth="1" style="32" min="3" max="3"/>
    <col width="95" customWidth="1" style="32" min="4" max="4"/>
  </cols>
  <sheetData>
    <row r="2" ht="21.75" customHeight="1" s="33">
      <c r="B2" s="34" t="inlineStr">
        <is>
          <t>NIE: Climate Change (National Intelligence Estimate, 2021)</t>
        </is>
      </c>
    </row>
    <row r="3" ht="27.75" customHeight="1" s="33">
      <c r="B3" s="63" t="inlineStr">
        <is>
          <t>Source: National Intelligence Council (DNI)  |  Date: 2021  |  Horizon: 2026 forward  |  URL: https://www.dni.gov/index.php/who-we-are/organizations/mission-integration/nic/nic-related-menus/nic-related-content/nic-publications</t>
        </is>
      </c>
    </row>
    <row r="5" ht="15" customHeight="1" s="33">
      <c r="B5" s="64" t="inlineStr">
        <is>
          <t>#</t>
        </is>
      </c>
      <c r="C5" s="64" t="inlineStr">
        <is>
          <t>Category</t>
        </is>
      </c>
      <c r="D5" s="64" t="inlineStr">
        <is>
          <t>Forecasted Change / Threat / Event (2026+)</t>
        </is>
      </c>
    </row>
    <row r="6" ht="15" customHeight="1" s="33">
      <c r="B6" s="37" t="n">
        <v>1</v>
      </c>
      <c r="C6" s="58" t="inlineStr">
        <is>
          <t>Climate</t>
        </is>
      </c>
      <c r="D6" s="38" t="inlineStr">
        <is>
          <t>Physical climate impacts (extreme weather, sea-level rise, heat) intensify through 2030 and beyond.</t>
        </is>
      </c>
    </row>
    <row r="7" ht="15" customHeight="1" s="33">
      <c r="B7" s="37" t="n">
        <v>2</v>
      </c>
      <c r="C7" s="58" t="inlineStr">
        <is>
          <t>Climate</t>
        </is>
      </c>
      <c r="D7" s="38" t="inlineStr">
        <is>
          <t>Climate-driven migration and geopolitical stress compound instability.</t>
        </is>
      </c>
    </row>
    <row r="9" ht="15" customHeight="1" s="33">
      <c r="B9" s="48" t="inlineStr">
        <is>
          <t>Cross-reference: events from this report are aggregated and forecasted (probability + timeline) on the 'Comprehensive Report' tab and tallied on the 'Analysis (Cross-Tally)' tab.</t>
        </is>
      </c>
    </row>
    <row r="10" ht="15" customHeight="1" s="33"/>
    <row r="12" ht="15" customHeight="1" s="33">
      <c r="B12" s="65" t="inlineStr">
        <is>
          <t>Verification note: Public title/scope-derived themes. Listed items reflect the assessment's declassified scope/title, not extraction of the classified full text; specific claims should be verified against the declassified NIE/NICA key judgments before citation.</t>
        </is>
      </c>
    </row>
    <row r="13" ht="15" customHeight="1" s="33"/>
  </sheetData>
  <mergeCells count="4">
    <mergeCell ref="B3:D3"/>
    <mergeCell ref="B9:D10"/>
    <mergeCell ref="B2:D2"/>
    <mergeCell ref="B12:D13"/>
  </mergeCells>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1"/>
  </sheetPr>
  <dimension ref="B2:D12"/>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outlineLevelCol="0"/>
  <cols>
    <col width="2.5" customWidth="1" style="32" min="1" max="1"/>
    <col width="5" customWidth="1" style="32" min="2" max="2"/>
    <col width="20" customWidth="1" style="32" min="3" max="3"/>
    <col width="95" customWidth="1" style="32" min="4" max="4"/>
  </cols>
  <sheetData>
    <row r="2" ht="21.75" customHeight="1" s="33">
      <c r="B2" s="34" t="inlineStr">
        <is>
          <t>NIE: Economic and National Security Implications of the COVID-19 Pandemic Through 2026</t>
        </is>
      </c>
    </row>
    <row r="3" ht="27.75" customHeight="1" s="33">
      <c r="B3" s="63" t="inlineStr">
        <is>
          <t>Source: National Intelligence Council (DNI)  |  Date: 2022  |  Horizon: 2026 forward  |  URL: https://www.dni.gov/index.php/who-we-are/organizations/mission-integration/nic/nic-related-menus/nic-related-content/nic-publications</t>
        </is>
      </c>
    </row>
    <row r="5" ht="15" customHeight="1" s="33">
      <c r="B5" s="64" t="inlineStr">
        <is>
          <t>#</t>
        </is>
      </c>
      <c r="C5" s="64" t="inlineStr">
        <is>
          <t>Category</t>
        </is>
      </c>
      <c r="D5" s="64" t="inlineStr">
        <is>
          <t>Forecasted Change / Threat / Event (2026+)</t>
        </is>
      </c>
    </row>
    <row r="6" ht="15" customHeight="1" s="33">
      <c r="B6" s="37" t="n">
        <v>1</v>
      </c>
      <c r="C6" s="58" t="inlineStr">
        <is>
          <t>Economics / Health</t>
        </is>
      </c>
      <c r="D6" s="38" t="inlineStr">
        <is>
          <t>Post-pandemic economic and national-security trajectories through 2026 (supply chains, fiscal strain, social trust).</t>
        </is>
      </c>
    </row>
    <row r="8" ht="15" customHeight="1" s="33">
      <c r="B8" s="48" t="inlineStr">
        <is>
          <t>Cross-reference: events from this report are aggregated and forecasted (probability + timeline) on the 'Comprehensive Report' tab and tallied on the 'Analysis (Cross-Tally)' tab.</t>
        </is>
      </c>
    </row>
    <row r="9" ht="15" customHeight="1" s="33"/>
    <row r="11" ht="15" customHeight="1" s="33">
      <c r="B11" s="65" t="inlineStr">
        <is>
          <t>Verification note: Public title/scope-derived themes. Listed items reflect the assessment's declassified scope/title, not extraction of the classified full text; specific claims should be verified against the declassified NIE/NICA key judgments before citation.</t>
        </is>
      </c>
    </row>
    <row r="12" ht="15" customHeight="1" s="33"/>
  </sheetData>
  <mergeCells count="4">
    <mergeCell ref="B3:D3"/>
    <mergeCell ref="B11:D12"/>
    <mergeCell ref="B2:D2"/>
    <mergeCell ref="B8:D9"/>
  </mergeCells>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1"/>
  </sheetPr>
  <dimension ref="B2:D13"/>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outlineLevelCol="0"/>
  <cols>
    <col width="2.5" customWidth="1" style="32" min="1" max="1"/>
    <col width="5" customWidth="1" style="32" min="2" max="2"/>
    <col width="20" customWidth="1" style="32" min="3" max="3"/>
    <col width="95" customWidth="1" style="32" min="4" max="4"/>
  </cols>
  <sheetData>
    <row r="2" ht="21.75" customHeight="1" s="33">
      <c r="B2" s="34" t="inlineStr">
        <is>
          <t>NICA: Iran's Hardline Regime in Transition Presents Diversified Challenges for the United States</t>
        </is>
      </c>
    </row>
    <row r="3" ht="27.75" customHeight="1" s="33">
      <c r="B3" s="63" t="inlineStr">
        <is>
          <t>Source: National Intelligence Council (DNI)  |  Date: 2024  |  Horizon: 2026 forward  |  URL: https://www.dni.gov/index.php/who-we-are/organizations/mission-integration/nic/nic-related-menus/nic-related-content/nic-publications</t>
        </is>
      </c>
    </row>
    <row r="5" ht="15" customHeight="1" s="33">
      <c r="B5" s="64" t="inlineStr">
        <is>
          <t>#</t>
        </is>
      </c>
      <c r="C5" s="64" t="inlineStr">
        <is>
          <t>Category</t>
        </is>
      </c>
      <c r="D5" s="64" t="inlineStr">
        <is>
          <t>Forecasted Change / Threat / Event (2026+)</t>
        </is>
      </c>
    </row>
    <row r="6" ht="15" customHeight="1" s="33">
      <c r="B6" s="37" t="n">
        <v>1</v>
      </c>
      <c r="C6" s="58" t="inlineStr">
        <is>
          <t>Geopolitics</t>
        </is>
      </c>
      <c r="D6" s="38" t="inlineStr">
        <is>
          <t>Iranian political-transition pathways and succession dynamics create diversified challenges for the US.</t>
        </is>
      </c>
    </row>
    <row r="7" ht="15" customHeight="1" s="33">
      <c r="B7" s="37" t="n">
        <v>2</v>
      </c>
      <c r="C7" s="58" t="inlineStr">
        <is>
          <t>WMD</t>
        </is>
      </c>
      <c r="D7" s="38" t="inlineStr">
        <is>
          <t>Trajectory of Iran's nuclear program and regional posture amid regime change pressures.</t>
        </is>
      </c>
    </row>
    <row r="9" ht="15" customHeight="1" s="33">
      <c r="B9" s="48" t="inlineStr">
        <is>
          <t>Cross-reference: events from this report are aggregated and forecasted (probability + timeline) on the 'Comprehensive Report' tab and tallied on the 'Analysis (Cross-Tally)' tab.</t>
        </is>
      </c>
    </row>
    <row r="10" ht="15" customHeight="1" s="33"/>
    <row r="12" ht="15" customHeight="1" s="33">
      <c r="B12" s="65" t="inlineStr">
        <is>
          <t>Verification note: Public title/scope-derived themes. Listed items reflect the assessment's declassified scope/title, not extraction of the classified full text; specific claims should be verified against the declassified NIE/NICA key judgments before citation.</t>
        </is>
      </c>
    </row>
    <row r="13" ht="15" customHeight="1" s="33"/>
  </sheetData>
  <mergeCells count="4">
    <mergeCell ref="B3:D3"/>
    <mergeCell ref="B9:D10"/>
    <mergeCell ref="B2:D2"/>
    <mergeCell ref="B12:D13"/>
  </mergeCells>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1"/>
  </sheetPr>
  <dimension ref="B2:D13"/>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outlineLevelCol="0"/>
  <cols>
    <col width="2.5" customWidth="1" style="32" min="1" max="1"/>
    <col width="5" customWidth="1" style="32" min="2" max="2"/>
    <col width="20" customWidth="1" style="32" min="3" max="3"/>
    <col width="95" customWidth="1" style="32" min="4" max="4"/>
  </cols>
  <sheetData>
    <row r="2" ht="21.75" customHeight="1" s="33">
      <c r="B2" s="34" t="inlineStr">
        <is>
          <t>NIE: Afghanistan - Implications of Taliban Rule</t>
        </is>
      </c>
    </row>
    <row r="3" ht="27.75" customHeight="1" s="33">
      <c r="B3" s="63" t="inlineStr">
        <is>
          <t>Source: National Intelligence Council (DNI)  |  Date: 2022  |  Horizon: 2026 forward  |  URL: https://www.dni.gov/index.php/who-we-are/organizations/mission-integration/nic/nic-related-menus/nic-related-content/nic-publications</t>
        </is>
      </c>
    </row>
    <row r="5" ht="15" customHeight="1" s="33">
      <c r="B5" s="64" t="inlineStr">
        <is>
          <t>#</t>
        </is>
      </c>
      <c r="C5" s="64" t="inlineStr">
        <is>
          <t>Category</t>
        </is>
      </c>
      <c r="D5" s="64" t="inlineStr">
        <is>
          <t>Forecasted Change / Threat / Event (2026+)</t>
        </is>
      </c>
    </row>
    <row r="6" ht="15" customHeight="1" s="33">
      <c r="B6" s="37" t="n">
        <v>1</v>
      </c>
      <c r="C6" s="58" t="inlineStr">
        <is>
          <t>Governance</t>
        </is>
      </c>
      <c r="D6" s="38" t="inlineStr">
        <is>
          <t>Taliban governance trajectory and state capacity under Taliban rule.</t>
        </is>
      </c>
    </row>
    <row r="7" ht="15" customHeight="1" s="33">
      <c r="B7" s="37" t="n">
        <v>2</v>
      </c>
      <c r="C7" s="58" t="inlineStr">
        <is>
          <t>Terrorism</t>
        </is>
      </c>
      <c r="D7" s="38" t="inlineStr">
        <is>
          <t>Terrorism spillover risk and regional impact from Afghanistan.</t>
        </is>
      </c>
    </row>
    <row r="9" ht="15" customHeight="1" s="33">
      <c r="B9" s="48" t="inlineStr">
        <is>
          <t>Cross-reference: events from this report are aggregated and forecasted (probability + timeline) on the 'Comprehensive Report' tab and tallied on the 'Analysis (Cross-Tally)' tab.</t>
        </is>
      </c>
    </row>
    <row r="10" ht="15" customHeight="1" s="33"/>
    <row r="12" ht="15" customHeight="1" s="33">
      <c r="B12" s="65" t="inlineStr">
        <is>
          <t>Verification note: Public title/scope-derived themes. Listed items reflect the assessment's declassified scope/title, not extraction of the classified full text; specific claims should be verified against the declassified NIE/NICA key judgments before citation.</t>
        </is>
      </c>
    </row>
    <row r="13" ht="15" customHeight="1" s="33"/>
  </sheetData>
  <mergeCells count="4">
    <mergeCell ref="B3:D3"/>
    <mergeCell ref="B9:D10"/>
    <mergeCell ref="B2:D2"/>
    <mergeCell ref="B12:D13"/>
  </mergeCells>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1"/>
  </sheetPr>
  <dimension ref="B2:D1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outlineLevelCol="0"/>
  <cols>
    <col width="2.5" customWidth="1" style="32" min="1" max="1"/>
    <col width="5" customWidth="1" style="32" min="2" max="2"/>
    <col width="20" customWidth="1" style="32" min="3" max="3"/>
    <col width="95" customWidth="1" style="32" min="4" max="4"/>
  </cols>
  <sheetData>
    <row r="2" ht="21.75" customHeight="1" s="33">
      <c r="B2" s="34" t="inlineStr">
        <is>
          <t>intelligence.gov - U.S. Intelligence Community portal (umbrella source)</t>
        </is>
      </c>
    </row>
    <row r="3" ht="27.75" customHeight="1" s="33">
      <c r="B3" s="63" t="inlineStr">
        <is>
          <t>Source: U.S. Intelligence Community  |  Date: Ongoing  |  Horizon: 2026 forward  |  URL: https://www.intelligence.gov</t>
        </is>
      </c>
    </row>
    <row r="5" ht="15" customHeight="1" s="33">
      <c r="B5" s="64" t="inlineStr">
        <is>
          <t>#</t>
        </is>
      </c>
      <c r="C5" s="64" t="inlineStr">
        <is>
          <t>Category</t>
        </is>
      </c>
      <c r="D5" s="64" t="inlineStr">
        <is>
          <t>Forecasted Change / Threat / Event (2026+)</t>
        </is>
      </c>
    </row>
    <row r="6" ht="15" customHeight="1" s="33">
      <c r="B6" s="37" t="n">
        <v>1</v>
      </c>
      <c r="C6" s="58" t="inlineStr">
        <is>
          <t>Index</t>
        </is>
      </c>
      <c r="D6" s="38" t="inlineStr">
        <is>
          <t>Hosts/publishes the Annual Threat Assessment and IC-wide threat products referenced across this workbook.</t>
        </is>
      </c>
    </row>
    <row r="7" ht="15" customHeight="1" s="33">
      <c r="B7" s="37" t="n">
        <v>2</v>
      </c>
      <c r="C7" s="58" t="inlineStr">
        <is>
          <t>Index</t>
        </is>
      </c>
      <c r="D7" s="38" t="inlineStr">
        <is>
          <t>Portal to the 17 IC elements; references the same ATA, Global Trends, and NIE products as dni.gov.</t>
        </is>
      </c>
    </row>
    <row r="9" ht="15" customHeight="1" s="33">
      <c r="B9" s="48" t="inlineStr">
        <is>
          <t>Cross-reference: events from this report are aggregated and forecasted (probability + timeline) on the 'Comprehensive Report' tab and tallied on the 'Analysis (Cross-Tally)' tab.</t>
        </is>
      </c>
    </row>
    <row r="10" ht="15" customHeight="1" s="33"/>
  </sheetData>
  <mergeCells count="3">
    <mergeCell ref="B3:D3"/>
    <mergeCell ref="B9:D10"/>
    <mergeCell ref="B2:D2"/>
  </mergeCells>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1"/>
  </sheetPr>
  <dimension ref="B2:D1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outlineLevelCol="0"/>
  <cols>
    <col width="2.5" customWidth="1" style="32" min="1" max="1"/>
    <col width="5" customWidth="1" style="32" min="2" max="2"/>
    <col width="20" customWidth="1" style="32" min="3" max="3"/>
    <col width="95" customWidth="1" style="32" min="4" max="4"/>
  </cols>
  <sheetData>
    <row r="2" ht="21.75" customHeight="1" s="33">
      <c r="B2" s="34" t="inlineStr">
        <is>
          <t>dni.gov - Office of the Director of National Intelligence (umbrella source)</t>
        </is>
      </c>
    </row>
    <row r="3" ht="27.75" customHeight="1" s="33">
      <c r="B3" s="63" t="inlineStr">
        <is>
          <t>Source: ODNI / National Intelligence Council  |  Date: Ongoing  |  Horizon: 2026 forward  |  URL: https://www.dni.gov/index.php/who-we-are/organizations/mission-integration/nic/nic-related-menus/nic-related-content/nic-publications</t>
        </is>
      </c>
    </row>
    <row r="5" ht="15" customHeight="1" s="33">
      <c r="B5" s="64" t="inlineStr">
        <is>
          <t>#</t>
        </is>
      </c>
      <c r="C5" s="64" t="inlineStr">
        <is>
          <t>Category</t>
        </is>
      </c>
      <c r="D5" s="64" t="inlineStr">
        <is>
          <t>Forecasted Change / Threat / Event (2026+)</t>
        </is>
      </c>
    </row>
    <row r="6" ht="15" customHeight="1" s="33">
      <c r="B6" s="37" t="n">
        <v>1</v>
      </c>
      <c r="C6" s="58" t="inlineStr">
        <is>
          <t>Index</t>
        </is>
      </c>
      <c r="D6" s="38" t="inlineStr">
        <is>
          <t>Publishes the Global Trends series (2040, 2035, 2030), the Annual Threat Assessment, and the NIEs/NICAs used as sources here.</t>
        </is>
      </c>
    </row>
    <row r="7" ht="15" customHeight="1" s="33">
      <c r="B7" s="37" t="n">
        <v>2</v>
      </c>
      <c r="C7" s="58" t="inlineStr">
        <is>
          <t>Index</t>
        </is>
      </c>
      <c r="D7" s="38" t="inlineStr">
        <is>
          <t>Umbrella source for every report tab in this workbook; one source with many reports/tabs.</t>
        </is>
      </c>
    </row>
    <row r="9" ht="15" customHeight="1" s="33">
      <c r="B9" s="48" t="inlineStr">
        <is>
          <t>Cross-reference: events from this report are aggregated and forecasted (probability + timeline) on the 'Comprehensive Report' tab and tallied on the 'Analysis (Cross-Tally)' tab.</t>
        </is>
      </c>
    </row>
    <row r="10" ht="15" customHeight="1" s="33"/>
  </sheetData>
  <mergeCells count="3">
    <mergeCell ref="B3:D3"/>
    <mergeCell ref="B9:D10"/>
    <mergeCell ref="B2:D2"/>
  </mergeCells>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2026-07-22T16:34:02Z</dcterms:created>
  <dcterms:modified xmlns:dcterms="http://purl.org/dc/terms/" xmlns:xsi="http://www.w3.org/2001/XMLSchema-instance" xsi:type="dcterms:W3CDTF">2026-07-22T16:40:31Z</dcterms:modified>
  <cp:revision>0</cp:revision>
</cp:coreProperties>
</file>