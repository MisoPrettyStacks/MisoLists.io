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d Pipeline" sheetId="1" state="visible" r:id="rId3"/>
    <sheet name="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<sst xmlns="http://schemas.openxmlformats.org/spreadsheetml/2006/main" count="963" uniqueCount="346">
  <si>
    <t xml:space="preserve">Company / Entity</t>
  </si>
  <si>
    <t xml:space="preserve">Category</t>
  </si>
  <si>
    <t xml:space="preserve">Funding Stage</t>
  </si>
  <si>
    <t xml:space="preserve">IPO Date</t>
  </si>
  <si>
    <t xml:space="preserve">Sector</t>
  </si>
  <si>
    <t xml:space="preserve">Source</t>
  </si>
  <si>
    <t xml:space="preserve">Stage Score (0-25)</t>
  </si>
  <si>
    <t xml:space="preserve">Financial Traction (0-30)</t>
  </si>
  <si>
    <t xml:space="preserve">Capital Backing (0-20)</t>
  </si>
  <si>
    <t xml:space="preserve">Market Position (0-15)</t>
  </si>
  <si>
    <t xml:space="preserve">Risk Adj. (-15 to 0)</t>
  </si>
  <si>
    <t xml:space="preserve">TOTAL SCORE (0-100)</t>
  </si>
  <si>
    <t xml:space="preserve">GRADE</t>
  </si>
  <si>
    <t xml:space="preserve">Stage Rationale</t>
  </si>
  <si>
    <t xml:space="preserve">Financial Rationale</t>
  </si>
  <si>
    <t xml:space="preserve">Capital Rationale</t>
  </si>
  <si>
    <t xml:space="preserve">Market Rationale</t>
  </si>
  <si>
    <t xml:space="preserve">Risk Rationale</t>
  </si>
  <si>
    <t xml:space="preserve">Historical Flag (WEF/pre-2020 alumni)</t>
  </si>
  <si>
    <t xml:space="preserve">Seaport Therapeutics</t>
  </si>
  <si>
    <t xml:space="preserve">Public</t>
  </si>
  <si>
    <t xml:space="preserve">Public (NASDAQ: SPTX)</t>
  </si>
  <si>
    <t xml:space="preserve">2026-05-01</t>
  </si>
  <si>
    <t xml:space="preserve">Biotech / Neuropsychiatry</t>
  </si>
  <si>
    <t xml:space="preserve">Live IPO Calendar 2026 / StockAnalysis</t>
  </si>
  <si>
    <t xml:space="preserve">Public, IPO within last 2 yrs (short track record)</t>
  </si>
  <si>
    <t xml:space="preserve">+7 stock up 16.0% since IPO</t>
  </si>
  <si>
    <t xml:space="preserve">0 no capital-backing detail disclosed</t>
  </si>
  <si>
    <t xml:space="preserve">0 no market-position evidence disclosed</t>
  </si>
  <si>
    <t xml:space="preserve">0 no risk flags detected</t>
  </si>
  <si>
    <t xml:space="preserve">No</t>
  </si>
  <si>
    <t xml:space="preserve">Parabilis Medicines</t>
  </si>
  <si>
    <t xml:space="preserve">Public (NASDAQ: PBLS)</t>
  </si>
  <si>
    <t xml:space="preserve">2026-06-10</t>
  </si>
  <si>
    <t xml:space="preserve">Biotech / Oncology</t>
  </si>
  <si>
    <t xml:space="preserve">+7 stock up 48.0% since IPO</t>
  </si>
  <si>
    <t xml:space="preserve">Hemab Therapeutics</t>
  </si>
  <si>
    <t xml:space="preserve">Public (NASDAQ: COAG)</t>
  </si>
  <si>
    <t xml:space="preserve">Biotech / Rare Disease</t>
  </si>
  <si>
    <t xml:space="preserve">+10 stock up 173.0% since IPO</t>
  </si>
  <si>
    <t xml:space="preserve">Avalyn Pharma</t>
  </si>
  <si>
    <t xml:space="preserve">Public (NASDAQ: AVLN)</t>
  </si>
  <si>
    <t xml:space="preserve">2026-04-30</t>
  </si>
  <si>
    <t xml:space="preserve">Biotech / Respiratory Disease</t>
  </si>
  <si>
    <t xml:space="preserve">+10 stock up 57.0% since IPO</t>
  </si>
  <si>
    <t xml:space="preserve">Innio</t>
  </si>
  <si>
    <t xml:space="preserve">Public (NASDAQ: INIO)</t>
  </si>
  <si>
    <t xml:space="preserve">2026-06-04</t>
  </si>
  <si>
    <t xml:space="preserve">Energy / Gas Engines</t>
  </si>
  <si>
    <t xml:space="preserve">+4 stock up 2.7% since IPO</t>
  </si>
  <si>
    <t xml:space="preserve">Pershing Square</t>
  </si>
  <si>
    <t xml:space="preserve">Public (NYSE: PS)</t>
  </si>
  <si>
    <t xml:space="preserve">2026-04-29</t>
  </si>
  <si>
    <t xml:space="preserve">Financial Services / Asset Management</t>
  </si>
  <si>
    <t xml:space="preserve">Live IPO Calendar 2026 / Forbes</t>
  </si>
  <si>
    <t xml:space="preserve">-10 stock down 31.5% since IPO</t>
  </si>
  <si>
    <t xml:space="preserve">Forbright</t>
  </si>
  <si>
    <t xml:space="preserve">Public (NASDAQ: FRBT)</t>
  </si>
  <si>
    <t xml:space="preserve">2026-06-11</t>
  </si>
  <si>
    <t xml:space="preserve">Financial Services / Green Banking</t>
  </si>
  <si>
    <t xml:space="preserve">+4 stock up 6.0% since IPO</t>
  </si>
  <si>
    <t xml:space="preserve">Wise (TransferWise)</t>
  </si>
  <si>
    <t xml:space="preserve">Public (LSE: WISE)</t>
  </si>
  <si>
    <t xml:space="preserve">2021-07-07</t>
  </si>
  <si>
    <t xml:space="preserve">Fintech / Cross-border Payments</t>
  </si>
  <si>
    <t xml:space="preserve">WEF Technology Pioneers Alumni</t>
  </si>
  <si>
    <t xml:space="preserve">Public, IPO &gt;2yrs ago (seasoned track record)</t>
  </si>
  <si>
    <t xml:space="preserve">0 no financial performance data disclosed</t>
  </si>
  <si>
    <t xml:space="preserve">+8 leader/pioneer/winner language</t>
  </si>
  <si>
    <t xml:space="preserve">Yes</t>
  </si>
  <si>
    <t xml:space="preserve">Ethos Technologies</t>
  </si>
  <si>
    <t xml:space="preserve">Public (NASDAQ: LIFE)</t>
  </si>
  <si>
    <t xml:space="preserve">2026-01-29</t>
  </si>
  <si>
    <t xml:space="preserve">Fintech / Life Insurance</t>
  </si>
  <si>
    <t xml:space="preserve">-3 stock down 1.8% since IPO</t>
  </si>
  <si>
    <t xml:space="preserve">Mastercard (G20 TechSprint participant)</t>
  </si>
  <si>
    <t xml:space="preserve">Public (NYSE: MA)</t>
  </si>
  <si>
    <t xml:space="preserve">2006-05-25</t>
  </si>
  <si>
    <t xml:space="preserve">Fintech / Payments</t>
  </si>
  <si>
    <t xml:space="preserve">G20 TechSprint 2025 Shortlisted (BIS/SARB)</t>
  </si>
  <si>
    <t xml:space="preserve">SpaceX (Space Exploration Technologies)</t>
  </si>
  <si>
    <t xml:space="preserve">Public (NASDAQ: SPCX)</t>
  </si>
  <si>
    <t xml:space="preserve">2026-06-12</t>
  </si>
  <si>
    <t xml:space="preserve">Space / Satellite &amp; Launch</t>
  </si>
  <si>
    <t xml:space="preserve">Live IPO Calendar 2026 / Crunchbase</t>
  </si>
  <si>
    <t xml:space="preserve">+6 some revenue/valuation figure disclosed</t>
  </si>
  <si>
    <t xml:space="preserve">+5 specific raise/valuation $ disclosed</t>
  </si>
  <si>
    <t xml:space="preserve">York Space Systems</t>
  </si>
  <si>
    <t xml:space="preserve">Public (NASDAQ: YSS)</t>
  </si>
  <si>
    <t xml:space="preserve">Space / Satellite Manufacturing</t>
  </si>
  <si>
    <t xml:space="preserve">-10 stock down 47.0% since IPO</t>
  </si>
  <si>
    <t xml:space="preserve">Spotify</t>
  </si>
  <si>
    <t xml:space="preserve">Public (NYSE: SPOT)</t>
  </si>
  <si>
    <t xml:space="preserve">2018-04-03</t>
  </si>
  <si>
    <t xml:space="preserve">Technology / Audio Streaming</t>
  </si>
  <si>
    <t xml:space="preserve">EquipmentShare</t>
  </si>
  <si>
    <t xml:space="preserve">Public (NASDAQ: EQPT)</t>
  </si>
  <si>
    <t xml:space="preserve">2026-01-23</t>
  </si>
  <si>
    <t xml:space="preserve">Technology / Construction Equipment Sharing</t>
  </si>
  <si>
    <t xml:space="preserve">-10 stock down 32.0% since IPO</t>
  </si>
  <si>
    <t xml:space="preserve">Liftoff Mobile</t>
  </si>
  <si>
    <t xml:space="preserve">Public (NASDAQ: LFTO)</t>
  </si>
  <si>
    <t xml:space="preserve">Technology / Mobile Advertising</t>
  </si>
  <si>
    <t xml:space="preserve">-3 stock down 1.7% since IPO</t>
  </si>
  <si>
    <t xml:space="preserve">Quantinuum</t>
  </si>
  <si>
    <t xml:space="preserve">Public (NASDAQ: QNT)</t>
  </si>
  <si>
    <t xml:space="preserve">Technology / Quantum Computing</t>
  </si>
  <si>
    <t xml:space="preserve">+10 tier-1/strategic investor named; +5 specific raise/valuation $ disclosed</t>
  </si>
  <si>
    <t xml:space="preserve">Alphabet (Google)</t>
  </si>
  <si>
    <t xml:space="preserve">Public (NASDAQ: GOOGL)</t>
  </si>
  <si>
    <t xml:space="preserve">2004-08-19</t>
  </si>
  <si>
    <t xml:space="preserve">Technology / Search &amp; AI</t>
  </si>
  <si>
    <t xml:space="preserve">WEF Technology Pioneers 2000 Cohort</t>
  </si>
  <si>
    <t xml:space="preserve">Airbnb</t>
  </si>
  <si>
    <t xml:space="preserve">Public (NASDAQ: ABNB)</t>
  </si>
  <si>
    <t xml:space="preserve">2020-12-10</t>
  </si>
  <si>
    <t xml:space="preserve">Technology / Travel &amp; Hospitality</t>
  </si>
  <si>
    <t xml:space="preserve">Huntress</t>
  </si>
  <si>
    <t xml:space="preserve">Upcoming IPO</t>
  </si>
  <si>
    <t xml:space="preserve">Private ($310M raised, Series D led by Kleiner Perkins)</t>
  </si>
  <si>
    <t xml:space="preserve">2026-2027 (probable)</t>
  </si>
  <si>
    <t xml:space="preserve">Cybersecurity / SMB Security</t>
  </si>
  <si>
    <t xml:space="preserve">Crunchbase 2026</t>
  </si>
  <si>
    <t xml:space="preserve">Upcoming IPO, late-stage private (named round/valuation), no S-1 yet</t>
  </si>
  <si>
    <t xml:space="preserve">+12 strong disclosed growth/revenue/profitability signal</t>
  </si>
  <si>
    <t xml:space="preserve">+10 tier-1/strategic investor named</t>
  </si>
  <si>
    <t xml:space="preserve">Anduril Industries</t>
  </si>
  <si>
    <t xml:space="preserve">Private ($30.5B valuation, $2.5B Series G)</t>
  </si>
  <si>
    <t xml:space="preserve">2026-2027 (very likely)</t>
  </si>
  <si>
    <t xml:space="preserve">Defense Tech / Autonomous Systems</t>
  </si>
  <si>
    <t xml:space="preserve">+8 leader/pioneer/winner language; +7 named enterprise/gov customers or contracts</t>
  </si>
  <si>
    <t xml:space="preserve">Deep Fission</t>
  </si>
  <si>
    <t xml:space="preserve">Private (S-1 filed May 2026)</t>
  </si>
  <si>
    <t xml:space="preserve">2026 (expected)</t>
  </si>
  <si>
    <t xml:space="preserve">Energy / Advanced Nuclear</t>
  </si>
  <si>
    <t xml:space="preserve">Forbes 2026</t>
  </si>
  <si>
    <t xml:space="preserve">Upcoming IPO, S-1 already filed</t>
  </si>
  <si>
    <t xml:space="preserve">Plaid</t>
  </si>
  <si>
    <t xml:space="preserve">Private ($6.1B valuation, $8B employee sale Feb 2026)</t>
  </si>
  <si>
    <t xml:space="preserve">2026-2027 (tracking toward)</t>
  </si>
  <si>
    <t xml:space="preserve">Fintech / Bank Account Connectivity</t>
  </si>
  <si>
    <t xml:space="preserve">Crunchbase / Dealroom 2026</t>
  </si>
  <si>
    <t xml:space="preserve">+5 specific raise/valuation $ disclosed; +5 up-round / rising valuation language; -5 down-round / blocked deal language</t>
  </si>
  <si>
    <t xml:space="preserve">-5 regulatory/risk/turmoil language (1 flag(s))</t>
  </si>
  <si>
    <t xml:space="preserve">Kraken</t>
  </si>
  <si>
    <t xml:space="preserve">Private (confidential S-1 filed Nov 2025, $20B valuation)</t>
  </si>
  <si>
    <t xml:space="preserve">2026-2027 (TBD)</t>
  </si>
  <si>
    <t xml:space="preserve">Fintech / Crypto Exchange</t>
  </si>
  <si>
    <t xml:space="preserve">Dealroom / CNBC 2026</t>
  </si>
  <si>
    <t xml:space="preserve">Ledger</t>
  </si>
  <si>
    <t xml:space="preserve">Private ($577M raised, Samsung Ventures)</t>
  </si>
  <si>
    <t xml:space="preserve">2027 (3-year target, US debut)</t>
  </si>
  <si>
    <t xml:space="preserve">Fintech / Crypto Hardware Security</t>
  </si>
  <si>
    <t xml:space="preserve">Grayscale Investments</t>
  </si>
  <si>
    <t xml:space="preserve">Private (digital asset manager)</t>
  </si>
  <si>
    <t xml:space="preserve">Fintech / Digital Asset Management</t>
  </si>
  <si>
    <t xml:space="preserve">Kiplinger 2026</t>
  </si>
  <si>
    <t xml:space="preserve">Monzo</t>
  </si>
  <si>
    <t xml:space="preserve">Private ($5.9B valuation Oct 2024)</t>
  </si>
  <si>
    <t xml:space="preserve">2026 (board dispute over timing)</t>
  </si>
  <si>
    <t xml:space="preserve">Fintech / Digital Banking</t>
  </si>
  <si>
    <t xml:space="preserve">+7 named enterprise/gov customers or contracts</t>
  </si>
  <si>
    <t xml:space="preserve">Revolut</t>
  </si>
  <si>
    <t xml:space="preserve">Private ($75B secondary Nov 2025)</t>
  </si>
  <si>
    <t xml:space="preserve">2026-2027 (pending UK banking license)</t>
  </si>
  <si>
    <t xml:space="preserve">+10 tier-1/strategic investor named; +5 specific raise/valuation $ disclosed; +5 up-round / rising valuation language</t>
  </si>
  <si>
    <t xml:space="preserve">Avalara</t>
  </si>
  <si>
    <t xml:space="preserve">Private (confidential S-1 filed July 2025)</t>
  </si>
  <si>
    <t xml:space="preserve">Fintech / Tax Compliance Software</t>
  </si>
  <si>
    <t xml:space="preserve">Innovaccer</t>
  </si>
  <si>
    <t xml:space="preserve">Private (Series F, Kaiser Permanente backing)</t>
  </si>
  <si>
    <t xml:space="preserve">Health Tech / AI Healthcare Data</t>
  </si>
  <si>
    <t xml:space="preserve">SpaceX (pre-IPO)</t>
  </si>
  <si>
    <t xml:space="preserve">Now Public (see Public section)</t>
  </si>
  <si>
    <t xml:space="preserve">2026-06-12 (completed)</t>
  </si>
  <si>
    <t xml:space="preserve">Space / Launch &amp; Satellite</t>
  </si>
  <si>
    <t xml:space="preserve">Crunchbase / Forbes 2026</t>
  </si>
  <si>
    <t xml:space="preserve">K2 Space</t>
  </si>
  <si>
    <t xml:space="preserve">Private ($3B valuation, $250M Series C)</t>
  </si>
  <si>
    <t xml:space="preserve">Space / Satellite Platforms</t>
  </si>
  <si>
    <t xml:space="preserve">OpenAI</t>
  </si>
  <si>
    <t xml:space="preserve">Private (confidential S-1 filed June 2026)</t>
  </si>
  <si>
    <t xml:space="preserve">Technology / AI Foundation Models</t>
  </si>
  <si>
    <t xml:space="preserve">Crunchbase / Dealroom / Forbes 2026</t>
  </si>
  <si>
    <t xml:space="preserve">Lambda</t>
  </si>
  <si>
    <t xml:space="preserve">Private (AI infrastructure)</t>
  </si>
  <si>
    <t xml:space="preserve">2026-H2 (reported)</t>
  </si>
  <si>
    <t xml:space="preserve">Technology / AI Infrastructure</t>
  </si>
  <si>
    <t xml:space="preserve">Forge Global 2026</t>
  </si>
  <si>
    <t xml:space="preserve">Crusoe Energy Systems</t>
  </si>
  <si>
    <t xml:space="preserve">Private ($10B+ valuation, $1.4B Series E)</t>
  </si>
  <si>
    <t xml:space="preserve">2026 (probable)</t>
  </si>
  <si>
    <t xml:space="preserve">Technology / AI Infrastructure &amp; Clean Energy</t>
  </si>
  <si>
    <t xml:space="preserve">Anthropic</t>
  </si>
  <si>
    <t xml:space="preserve">Private (S-1 filed June 2026)</t>
  </si>
  <si>
    <t xml:space="preserve">2026-H2 (expected)</t>
  </si>
  <si>
    <t xml:space="preserve">Technology / AI Safety &amp; Models</t>
  </si>
  <si>
    <t xml:space="preserve">Crunchbase / Kiplinger / Forbes 2026</t>
  </si>
  <si>
    <t xml:space="preserve">Discord</t>
  </si>
  <si>
    <t xml:space="preserve">Private (confidential S-1 filed Jan 2026)</t>
  </si>
  <si>
    <t xml:space="preserve">Technology / Communication Platform</t>
  </si>
  <si>
    <t xml:space="preserve">Dealroom / Crunchbase 2026</t>
  </si>
  <si>
    <t xml:space="preserve">Nothing</t>
  </si>
  <si>
    <t xml:space="preserve">Private ($1.3B Series C, crowdfunding via Wefunder/Crowdcube)</t>
  </si>
  <si>
    <t xml:space="preserve">2029 (3-year target per CEO)</t>
  </si>
  <si>
    <t xml:space="preserve">Technology / Consumer Hardware</t>
  </si>
  <si>
    <t xml:space="preserve">Databricks</t>
  </si>
  <si>
    <t xml:space="preserve">Private (Series L at $134B, Dec 2025)</t>
  </si>
  <si>
    <t xml:space="preserve">2027 (likely)</t>
  </si>
  <si>
    <t xml:space="preserve">Technology / Data &amp; AI Platform</t>
  </si>
  <si>
    <t xml:space="preserve">Canva</t>
  </si>
  <si>
    <t xml:space="preserve">Private ($42B valuation, employee share sale)</t>
  </si>
  <si>
    <t xml:space="preserve">2027 (probable)</t>
  </si>
  <si>
    <t xml:space="preserve">Technology / Design Software</t>
  </si>
  <si>
    <t xml:space="preserve">Cohere</t>
  </si>
  <si>
    <t xml:space="preserve">Private ($7B valuation, $150M ARR)</t>
  </si>
  <si>
    <t xml:space="preserve">Technology / Enterprise AI</t>
  </si>
  <si>
    <t xml:space="preserve">eSusFarm Africa</t>
  </si>
  <si>
    <t xml:space="preserve">Unknown</t>
  </si>
  <si>
    <t xml:space="preserve">Private (G20 TechSprint shortlisted)</t>
  </si>
  <si>
    <t xml:space="preserve">Agtech / Sustainable Agriculture</t>
  </si>
  <si>
    <t xml:space="preserve">Early-stage private / award-cohort selection only, no disclosed funding stage</t>
  </si>
  <si>
    <t xml:space="preserve">-5 no disclosed timeline (data opacity)</t>
  </si>
  <si>
    <t xml:space="preserve">Ecolyte</t>
  </si>
  <si>
    <t xml:space="preserve">Private (EU Innovation Radar Prize 2025 Category Winner)</t>
  </si>
  <si>
    <t xml:space="preserve">Cleantech / Energy Membranes</t>
  </si>
  <si>
    <t xml:space="preserve">EU Innovation Radar Prize 2025 (EC/Dealflow.eu)</t>
  </si>
  <si>
    <t xml:space="preserve">Graphenest</t>
  </si>
  <si>
    <t xml:space="preserve">Private (EU Innovation Radar Prize 2025 Finalist)</t>
  </si>
  <si>
    <t xml:space="preserve">Cleantech / Graphene Materials</t>
  </si>
  <si>
    <t xml:space="preserve">EU Innovation Radar Prize 2025 Finalist (EC/Dealflow.eu)</t>
  </si>
  <si>
    <t xml:space="preserve">Cogitat</t>
  </si>
  <si>
    <t xml:space="preserve">Private (NATO DIANA Cohort 2025)</t>
  </si>
  <si>
    <t xml:space="preserve">Defense Tech / AI/Neurotechnology</t>
  </si>
  <si>
    <t xml:space="preserve">NATO DIANA Cohort 2025 (diana.nato.int)</t>
  </si>
  <si>
    <t xml:space="preserve">APR Technologies AB</t>
  </si>
  <si>
    <t xml:space="preserve">Defense Tech / Advanced Materials</t>
  </si>
  <si>
    <t xml:space="preserve">Kitekraft</t>
  </si>
  <si>
    <t xml:space="preserve">Defense Tech / Airborne Wind Energy</t>
  </si>
  <si>
    <t xml:space="preserve">Kelluu</t>
  </si>
  <si>
    <t xml:space="preserve">Private (NATO DIANA Cohort 2025, Phase II)</t>
  </si>
  <si>
    <t xml:space="preserve">Defense Tech / Autonomous Airships</t>
  </si>
  <si>
    <t xml:space="preserve">QurieGen</t>
  </si>
  <si>
    <t xml:space="preserve">Defense Tech / Genomics/Biotech</t>
  </si>
  <si>
    <t xml:space="preserve">52 North Health</t>
  </si>
  <si>
    <t xml:space="preserve">Defense Tech / Health Monitoring</t>
  </si>
  <si>
    <t xml:space="preserve">ElFys</t>
  </si>
  <si>
    <t xml:space="preserve">Defense Tech / Photonics/Sensing</t>
  </si>
  <si>
    <t xml:space="preserve">Blixt Tech AB</t>
  </si>
  <si>
    <t xml:space="preserve">Defense Tech / Power Electronics</t>
  </si>
  <si>
    <t xml:space="preserve">Quantropi</t>
  </si>
  <si>
    <t xml:space="preserve">Defense Tech / Quantum Security</t>
  </si>
  <si>
    <t xml:space="preserve">Alea Quantum Technologies</t>
  </si>
  <si>
    <t xml:space="preserve">Defense Tech / Quantum Sensing</t>
  </si>
  <si>
    <t xml:space="preserve">THOTHX</t>
  </si>
  <si>
    <t xml:space="preserve">Defense Tech / Satellite Communications</t>
  </si>
  <si>
    <t xml:space="preserve">Wayren</t>
  </si>
  <si>
    <t xml:space="preserve">Defense Tech / Sensing &amp; Surveillance</t>
  </si>
  <si>
    <t xml:space="preserve">Sensible Biotechnologies</t>
  </si>
  <si>
    <t xml:space="preserve">Defense Tech / Synthetic Biology</t>
  </si>
  <si>
    <t xml:space="preserve">IS Wireless</t>
  </si>
  <si>
    <t xml:space="preserve">Defense Tech / Wireless Communications</t>
  </si>
  <si>
    <t xml:space="preserve">Shein</t>
  </si>
  <si>
    <t xml:space="preserve">Private ($66B valuation, 2023)</t>
  </si>
  <si>
    <t xml:space="preserve">Unknown (UK listing attempted, delayed)</t>
  </si>
  <si>
    <t xml:space="preserve">E-commerce / Fast Fashion</t>
  </si>
  <si>
    <t xml:space="preserve">Crunchbase / Market Research 2026</t>
  </si>
  <si>
    <t xml:space="preserve">+5 specific raise/valuation $ disclosed; -5 down-round / blocked deal language</t>
  </si>
  <si>
    <t xml:space="preserve">-10 regulatory/risk/turmoil language (2 flag(s)); -5 no disclosed timeline (data opacity)</t>
  </si>
  <si>
    <t xml:space="preserve">Alerzo</t>
  </si>
  <si>
    <t xml:space="preserve">Private (WEF Tech Pioneer 2023)</t>
  </si>
  <si>
    <t xml:space="preserve">Fintech / B2B Commerce (Nigeria)</t>
  </si>
  <si>
    <t xml:space="preserve">WEF Technology Pioneers 2023 Cohort</t>
  </si>
  <si>
    <t xml:space="preserve">Silence Laboratories Pte Ltd</t>
  </si>
  <si>
    <t xml:space="preserve">Private (G20 TechSprint winner)</t>
  </si>
  <si>
    <t xml:space="preserve">Fintech / Credit Data Portability</t>
  </si>
  <si>
    <t xml:space="preserve">G20 TechSprint 2025 Winner (BIS/SARB)</t>
  </si>
  <si>
    <t xml:space="preserve">Ownapay SA (Proprietary) Ltd</t>
  </si>
  <si>
    <t xml:space="preserve">Fintech / Digital Identity</t>
  </si>
  <si>
    <t xml:space="preserve">FNA</t>
  </si>
  <si>
    <t xml:space="preserve">Fintech / Fraud Detection &amp; Network Analytics</t>
  </si>
  <si>
    <t xml:space="preserve">Banfico VOP</t>
  </si>
  <si>
    <t xml:space="preserve">Fintech / Open Banking</t>
  </si>
  <si>
    <t xml:space="preserve">Stripe</t>
  </si>
  <si>
    <t xml:space="preserve">Private ($95B valuation, 2021)</t>
  </si>
  <si>
    <t xml:space="preserve">Unknown (delayed, market conditions)</t>
  </si>
  <si>
    <t xml:space="preserve">Fintech / Payments Infrastructure</t>
  </si>
  <si>
    <t xml:space="preserve">Akiba Digital (Pty) Ltd</t>
  </si>
  <si>
    <t xml:space="preserve">Fintech / SME Finance</t>
  </si>
  <si>
    <t xml:space="preserve">SpaceX (pre-IPO reference)</t>
  </si>
  <si>
    <t xml:space="preserve">NOW PUBLIC (see Public section)</t>
  </si>
  <si>
    <t xml:space="preserve">Proto</t>
  </si>
  <si>
    <t xml:space="preserve">Technology / AI Consumer Protection</t>
  </si>
  <si>
    <t xml:space="preserve">ExoMatter</t>
  </si>
  <si>
    <t xml:space="preserve">Private (EU Innovation Radar Prize 2025 Grand Winner)</t>
  </si>
  <si>
    <t xml:space="preserve">Technology / AI Materials Science</t>
  </si>
  <si>
    <t xml:space="preserve">Embedl</t>
  </si>
  <si>
    <t xml:space="preserve">Technology / AI Software Optimization</t>
  </si>
  <si>
    <t xml:space="preserve">Minespider</t>
  </si>
  <si>
    <t xml:space="preserve">Technology / Blockchain Supply Chain</t>
  </si>
  <si>
    <t xml:space="preserve">Mitiga Solutions</t>
  </si>
  <si>
    <t xml:space="preserve">Technology / Climate Risk AI</t>
  </si>
  <si>
    <t xml:space="preserve">Dove Air</t>
  </si>
  <si>
    <t xml:space="preserve">Technology / Drone Delivery (South Africa)</t>
  </si>
  <si>
    <t xml:space="preserve">SpiNNcloud</t>
  </si>
  <si>
    <t xml:space="preserve">Technology / Neuromorphic Computing</t>
  </si>
  <si>
    <t xml:space="preserve">AQT (Alpine Quantum Technologies)</t>
  </si>
  <si>
    <t xml:space="preserve">Private (WEF Tech Pioneer 2020)</t>
  </si>
  <si>
    <t xml:space="preserve">WEF Technology Pioneers 2020 Cohort</t>
  </si>
  <si>
    <t xml:space="preserve">Equal1</t>
  </si>
  <si>
    <t xml:space="preserve">ByteDance (TikTok)</t>
  </si>
  <si>
    <t xml:space="preserve">Private ($268B valuation, 2024)</t>
  </si>
  <si>
    <t xml:space="preserve">Unknown (banned in US, regulatory risk)</t>
  </si>
  <si>
    <t xml:space="preserve">Technology / Social Media &amp; AI</t>
  </si>
  <si>
    <t xml:space="preserve">TITLE: Investment Pipeline Grading Formula — Methodology</t>
  </si>
  <si>
    <t xml:space="preserve">FORMULA: TOTAL SCORE = Stage Score + Financial Traction Score + Capital Backing Score + Market Position Score + Risk Adjustment</t>
  </si>
  <si>
    <t xml:space="preserve">Range: 0-100 (clipped). Grade: A &gt;=35 | B &gt;=25 | C &gt;=15 | D &gt;=8 | F &lt;8</t>
  </si>
  <si>
    <t xml:space="preserve">(Cutoffs are calibrated to the actual score distribution observed in THIS 76-company list, not universal investment-grade bands — see 'Why the cutoffs look low' below.)</t>
  </si>
  <si>
    <t xml:space="preserve">1. STAGE SCORE (0-25): How far along the company is toward a liquidity event / public track record.</t>
  </si>
  <si>
    <t xml:space="preserve">Public, IPO more than 2 years ago -&gt; 25 (has a real multi-year track record)</t>
  </si>
  <si>
    <t xml:space="preserve">Public, IPO within the last 2 years -&gt; 20 (track record still short)</t>
  </si>
  <si>
    <t xml:space="preserve">Upcoming IPO, S-1 already filed -&gt; 15 (committed, near-term event)</t>
  </si>
  <si>
    <t xml:space="preserve">Upcoming IPO, late-stage private / large named round, no S-1 yet -&gt; 10</t>
  </si>
  <si>
    <t xml:space="preserve">Private / Unknown, only a cohort or award selection on record, no disclosed funding stage -&gt; 5</t>
  </si>
  <si>
    <t xml:space="preserve">2. FINANCIAL TRACTION (0-30): Real, disclosed operating and market performance -- the core of the grade.</t>
  </si>
  <si>
    <t xml:space="preserve">+10/+7/+4 if a public stock is up &gt;=50% / 10-49% / 0-9% since its IPO</t>
  </si>
  <si>
    <t xml:space="preserve">-10/-6/-3 if a public stock is down &gt;=30% / 10-29% / &lt;10% since its IPO</t>
  </si>
  <si>
    <t xml:space="preserve">+12 if strong disclosed growth is on record (e.g. named YoY growth rate, FCF-positive status, named revenue run-rate)</t>
  </si>
  <si>
    <t xml:space="preserve">+6 if some revenue or valuation figure is disclosed but without a strong growth/profitability claim</t>
  </si>
  <si>
    <t xml:space="preserve">0 if no financial performance data is disclosed at all</t>
  </si>
  <si>
    <t xml:space="preserve">3. CAPITAL BACKING QUALITY (0-20): Who is funding it and on what terms -- a proxy for third-party underwriting quality, not a popularity count.</t>
  </si>
  <si>
    <t xml:space="preserve">+10 if a named tier-1 institutional or strategic investor is on the cap table (top VC firms, hyperscalers, sovereign-scale banks, named government contracts)</t>
  </si>
  <si>
    <t xml:space="preserve">+5 if a specific raise amount or valuation figure is disclosed</t>
  </si>
  <si>
    <t xml:space="preserve">+5 if the round is explicitly an up-round / rising valuation; -5 if it is a down-round or a blocked/delayed deal</t>
  </si>
  <si>
    <t xml:space="preserve">4. MARKET POSITION (0-15): Evidence of real competitive standing, not thematic alignment.</t>
  </si>
  <si>
    <t xml:space="preserve">+8 if the notes describe the company as a category leader, first-mover, or named award/category winner</t>
  </si>
  <si>
    <t xml:space="preserve">+7 if named enterprise or government customers/contracts are on record</t>
  </si>
  <si>
    <t xml:space="preserve">5. RISK ADJUSTMENT (-15 to 0): Deductions for disclosed regulatory, governance, or timeline uncertainty.</t>
  </si>
  <si>
    <t xml:space="preserve">-5 per distinct regulatory/delay/blocked-deal/governance-dispute flag found in the notes (capped at -15)</t>
  </si>
  <si>
    <t xml:space="preserve">-5 if no IPO/liquidity timeline is disclosed at all (data opacity is itself a risk)</t>
  </si>
  <si>
    <t xml:space="preserve">WHAT WAS DELIBERATELY EXCLUDED: </t>
  </si>
  <si>
    <t xml:space="preserve">The 'Primary Event' and 'Thematic Probability' columns from the original tracker (e.g. 'E14 AI disruption 85%') were NOT used as scoring inputs.</t>
  </si>
  <si>
    <t xml:space="preserve">Those columns record a correlation between a company's sector and a geopolitical/IGO/NGO forecast theme -- they are not evidence that the company itself will succeed.</t>
  </si>
  <si>
    <t xml:space="preserve">Being named an alumnus of a WEF Technology Pioneers cohort, a NATO DIANA cohort, or a G20 TechSprint winner is real -- it means that program's judges once selected the company for a class -- but it happened after the company already had a working product, and it is not a validated predictor of future returns. It's carried in this sheet as a factual note only (see 'Historical Flag' / Source columns), never as a scored input.</t>
  </si>
  <si>
    <t xml:space="preserve">WHY THE CUTOFFS LOOK LOW: Most rows in this pipeline are early-stage private companies whose only public record is 'selected for a cohort/award' -- there is no disclosed revenue, valuation, or investor detail to score. That legitimately caps their achievable total near the Stage-Score floor (5) plus maybe a Market-Position point or two. A grade of D or F on this sheet usually means 'insufficient public disclosure to grade,' not 'bad company' -- treat those as UNRATED rather than as a negative signal, and revisit them once more financial data becomes public (e.g., at their next funding round).</t>
  </si>
  <si>
    <t xml:space="preserve">HOW TO MAINTAIN THIS: Add new rows using the same 5 sub-score columns (G-K); Total and Grade recalculate automatically since they are formulas. Re-score a row whenever its notes are updated with new financial/investor/regulatory information.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</si>
</sst>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2" min="11" style="0" width="10"/>
    <col collapsed="false" customWidth="true" hidden="false" outlineLevel="0" max="13" min="13" style="0" width="7"/>
    <col collapsed="false" customWidth="true" hidden="false" outlineLevel="0" max="18" min="14" style="0" width="32"/>
    <col collapsed="false" customWidth="true" hidden="false" outlineLevel="0" max="19" min="19" style="0" width="12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n">
        <v>20</v>
      </c>
      <c r="H2" s="3" t="n">
        <v>7</v>
      </c>
      <c r="I2" s="3" t="n">
        <v>0</v>
      </c>
      <c r="J2" s="3" t="n">
        <v>0</v>
      </c>
      <c r="K2" s="3" t="n">
        <v>0</v>
      </c>
      <c r="L2" s="2" t="n">
        <f aca="false">SUM(G2:K2)</f>
        <v>27</v>
      </c>
      <c r="M2" s="2" t="str">
        <f aca="false">IF(L2&gt;=35,"A",IF(L2&gt;=25,"B",IF(L2&gt;=15,"C",IF(L2&gt;=8,"D","F"))))</f>
        <v>B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2" t="s">
        <v>30</v>
      </c>
    </row>
    <row r="3" customFormat="false" ht="15" hidden="false" customHeight="false" outlineLevel="0" collapsed="false">
      <c r="A3" s="2" t="s">
        <v>31</v>
      </c>
      <c r="B3" s="2" t="s">
        <v>20</v>
      </c>
      <c r="C3" s="2" t="s">
        <v>32</v>
      </c>
      <c r="D3" s="2" t="s">
        <v>33</v>
      </c>
      <c r="E3" s="2" t="s">
        <v>34</v>
      </c>
      <c r="F3" s="2" t="s">
        <v>24</v>
      </c>
      <c r="G3" s="3" t="n">
        <v>20</v>
      </c>
      <c r="H3" s="3" t="n">
        <v>7</v>
      </c>
      <c r="I3" s="3" t="n">
        <v>0</v>
      </c>
      <c r="J3" s="3" t="n">
        <v>0</v>
      </c>
      <c r="K3" s="3" t="n">
        <v>0</v>
      </c>
      <c r="L3" s="2" t="n">
        <f aca="false">SUM(G3:K3)</f>
        <v>27</v>
      </c>
      <c r="M3" s="2" t="str">
        <f aca="false">IF(L3&gt;=35,"A",IF(L3&gt;=25,"B",IF(L3&gt;=15,"C",IF(L3&gt;=8,"D","F"))))</f>
        <v>B</v>
      </c>
      <c r="N3" s="4" t="s">
        <v>25</v>
      </c>
      <c r="O3" s="4" t="s">
        <v>35</v>
      </c>
      <c r="P3" s="4" t="s">
        <v>27</v>
      </c>
      <c r="Q3" s="4" t="s">
        <v>28</v>
      </c>
      <c r="R3" s="4" t="s">
        <v>29</v>
      </c>
      <c r="S3" s="2" t="s">
        <v>30</v>
      </c>
    </row>
    <row r="4" customFormat="false" ht="15" hidden="false" customHeight="false" outlineLevel="0" collapsed="false">
      <c r="A4" s="2" t="s">
        <v>36</v>
      </c>
      <c r="B4" s="2" t="s">
        <v>20</v>
      </c>
      <c r="C4" s="2" t="s">
        <v>37</v>
      </c>
      <c r="D4" s="2" t="s">
        <v>22</v>
      </c>
      <c r="E4" s="2" t="s">
        <v>38</v>
      </c>
      <c r="F4" s="2" t="s">
        <v>24</v>
      </c>
      <c r="G4" s="3" t="n">
        <v>20</v>
      </c>
      <c r="H4" s="3" t="n">
        <v>10</v>
      </c>
      <c r="I4" s="3" t="n">
        <v>0</v>
      </c>
      <c r="J4" s="3" t="n">
        <v>0</v>
      </c>
      <c r="K4" s="3" t="n">
        <v>0</v>
      </c>
      <c r="L4" s="2" t="n">
        <f aca="false">SUM(G4:K4)</f>
        <v>30</v>
      </c>
      <c r="M4" s="2" t="str">
        <f aca="false">IF(L4&gt;=35,"A",IF(L4&gt;=25,"B",IF(L4&gt;=15,"C",IF(L4&gt;=8,"D","F"))))</f>
        <v>B</v>
      </c>
      <c r="N4" s="4" t="s">
        <v>25</v>
      </c>
      <c r="O4" s="4" t="s">
        <v>39</v>
      </c>
      <c r="P4" s="4" t="s">
        <v>27</v>
      </c>
      <c r="Q4" s="4" t="s">
        <v>28</v>
      </c>
      <c r="R4" s="4" t="s">
        <v>29</v>
      </c>
      <c r="S4" s="2" t="s">
        <v>30</v>
      </c>
    </row>
    <row r="5" customFormat="false" ht="15" hidden="false" customHeight="false" outlineLevel="0" collapsed="false">
      <c r="A5" s="2" t="s">
        <v>40</v>
      </c>
      <c r="B5" s="2" t="s">
        <v>20</v>
      </c>
      <c r="C5" s="2" t="s">
        <v>41</v>
      </c>
      <c r="D5" s="2" t="s">
        <v>42</v>
      </c>
      <c r="E5" s="2" t="s">
        <v>43</v>
      </c>
      <c r="F5" s="2" t="s">
        <v>24</v>
      </c>
      <c r="G5" s="3" t="n">
        <v>20</v>
      </c>
      <c r="H5" s="3" t="n">
        <v>10</v>
      </c>
      <c r="I5" s="3" t="n">
        <v>0</v>
      </c>
      <c r="J5" s="3" t="n">
        <v>0</v>
      </c>
      <c r="K5" s="3" t="n">
        <v>0</v>
      </c>
      <c r="L5" s="2" t="n">
        <f aca="false">SUM(G5:K5)</f>
        <v>30</v>
      </c>
      <c r="M5" s="2" t="str">
        <f aca="false">IF(L5&gt;=35,"A",IF(L5&gt;=25,"B",IF(L5&gt;=15,"C",IF(L5&gt;=8,"D","F"))))</f>
        <v>B</v>
      </c>
      <c r="N5" s="4" t="s">
        <v>25</v>
      </c>
      <c r="O5" s="4" t="s">
        <v>44</v>
      </c>
      <c r="P5" s="4" t="s">
        <v>27</v>
      </c>
      <c r="Q5" s="4" t="s">
        <v>28</v>
      </c>
      <c r="R5" s="4" t="s">
        <v>29</v>
      </c>
      <c r="S5" s="2" t="s">
        <v>30</v>
      </c>
    </row>
    <row r="6" customFormat="false" ht="15" hidden="false" customHeight="false" outlineLevel="0" collapsed="false">
      <c r="A6" s="2" t="s">
        <v>45</v>
      </c>
      <c r="B6" s="2" t="s">
        <v>20</v>
      </c>
      <c r="C6" s="2" t="s">
        <v>46</v>
      </c>
      <c r="D6" s="2" t="s">
        <v>47</v>
      </c>
      <c r="E6" s="2" t="s">
        <v>48</v>
      </c>
      <c r="F6" s="2" t="s">
        <v>24</v>
      </c>
      <c r="G6" s="3" t="n">
        <v>20</v>
      </c>
      <c r="H6" s="3" t="n">
        <v>4</v>
      </c>
      <c r="I6" s="3" t="n">
        <v>0</v>
      </c>
      <c r="J6" s="3" t="n">
        <v>0</v>
      </c>
      <c r="K6" s="3" t="n">
        <v>0</v>
      </c>
      <c r="L6" s="2" t="n">
        <f aca="false">SUM(G6:K6)</f>
        <v>24</v>
      </c>
      <c r="M6" s="2" t="str">
        <f aca="false">IF(L6&gt;=35,"A",IF(L6&gt;=25,"B",IF(L6&gt;=15,"C",IF(L6&gt;=8,"D","F"))))</f>
        <v>C</v>
      </c>
      <c r="N6" s="4" t="s">
        <v>25</v>
      </c>
      <c r="O6" s="4" t="s">
        <v>49</v>
      </c>
      <c r="P6" s="4" t="s">
        <v>27</v>
      </c>
      <c r="Q6" s="4" t="s">
        <v>28</v>
      </c>
      <c r="R6" s="4" t="s">
        <v>29</v>
      </c>
      <c r="S6" s="2" t="s">
        <v>30</v>
      </c>
    </row>
    <row r="7" customFormat="false" ht="15" hidden="false" customHeight="false" outlineLevel="0" collapsed="false">
      <c r="A7" s="2" t="s">
        <v>50</v>
      </c>
      <c r="B7" s="2" t="s">
        <v>20</v>
      </c>
      <c r="C7" s="2" t="s">
        <v>51</v>
      </c>
      <c r="D7" s="2" t="s">
        <v>52</v>
      </c>
      <c r="E7" s="2" t="s">
        <v>53</v>
      </c>
      <c r="F7" s="2" t="s">
        <v>54</v>
      </c>
      <c r="G7" s="3" t="n">
        <v>20</v>
      </c>
      <c r="H7" s="3" t="n">
        <v>-10</v>
      </c>
      <c r="I7" s="3" t="n">
        <v>0</v>
      </c>
      <c r="J7" s="3" t="n">
        <v>0</v>
      </c>
      <c r="K7" s="3" t="n">
        <v>0</v>
      </c>
      <c r="L7" s="2" t="n">
        <f aca="false">SUM(G7:K7)</f>
        <v>10</v>
      </c>
      <c r="M7" s="2" t="str">
        <f aca="false">IF(L7&gt;=35,"A",IF(L7&gt;=25,"B",IF(L7&gt;=15,"C",IF(L7&gt;=8,"D","F"))))</f>
        <v>D</v>
      </c>
      <c r="N7" s="4" t="s">
        <v>25</v>
      </c>
      <c r="O7" s="4" t="s">
        <v>55</v>
      </c>
      <c r="P7" s="4" t="s">
        <v>27</v>
      </c>
      <c r="Q7" s="4" t="s">
        <v>28</v>
      </c>
      <c r="R7" s="4" t="s">
        <v>29</v>
      </c>
      <c r="S7" s="2" t="s">
        <v>30</v>
      </c>
    </row>
    <row r="8" customFormat="false" ht="15" hidden="false" customHeight="false" outlineLevel="0" collapsed="false">
      <c r="A8" s="2" t="s">
        <v>56</v>
      </c>
      <c r="B8" s="2" t="s">
        <v>20</v>
      </c>
      <c r="C8" s="2" t="s">
        <v>57</v>
      </c>
      <c r="D8" s="2" t="s">
        <v>58</v>
      </c>
      <c r="E8" s="2" t="s">
        <v>59</v>
      </c>
      <c r="F8" s="2" t="s">
        <v>24</v>
      </c>
      <c r="G8" s="3" t="n">
        <v>20</v>
      </c>
      <c r="H8" s="3" t="n">
        <v>4</v>
      </c>
      <c r="I8" s="3" t="n">
        <v>0</v>
      </c>
      <c r="J8" s="3" t="n">
        <v>0</v>
      </c>
      <c r="K8" s="3" t="n">
        <v>0</v>
      </c>
      <c r="L8" s="2" t="n">
        <f aca="false">SUM(G8:K8)</f>
        <v>24</v>
      </c>
      <c r="M8" s="2" t="str">
        <f aca="false">IF(L8&gt;=35,"A",IF(L8&gt;=25,"B",IF(L8&gt;=15,"C",IF(L8&gt;=8,"D","F"))))</f>
        <v>C</v>
      </c>
      <c r="N8" s="4" t="s">
        <v>25</v>
      </c>
      <c r="O8" s="4" t="s">
        <v>60</v>
      </c>
      <c r="P8" s="4" t="s">
        <v>27</v>
      </c>
      <c r="Q8" s="4" t="s">
        <v>28</v>
      </c>
      <c r="R8" s="4" t="s">
        <v>29</v>
      </c>
      <c r="S8" s="2" t="s">
        <v>30</v>
      </c>
    </row>
    <row r="9" customFormat="false" ht="15" hidden="false" customHeight="false" outlineLevel="0" collapsed="false">
      <c r="A9" s="2" t="s">
        <v>61</v>
      </c>
      <c r="B9" s="2" t="s">
        <v>20</v>
      </c>
      <c r="C9" s="2" t="s">
        <v>62</v>
      </c>
      <c r="D9" s="2" t="s">
        <v>63</v>
      </c>
      <c r="E9" s="2" t="s">
        <v>64</v>
      </c>
      <c r="F9" s="2" t="s">
        <v>65</v>
      </c>
      <c r="G9" s="3" t="n">
        <v>25</v>
      </c>
      <c r="H9" s="3" t="n">
        <v>0</v>
      </c>
      <c r="I9" s="3" t="n">
        <v>0</v>
      </c>
      <c r="J9" s="3" t="n">
        <v>8</v>
      </c>
      <c r="K9" s="3" t="n">
        <v>0</v>
      </c>
      <c r="L9" s="2" t="n">
        <f aca="false">SUM(G9:K9)</f>
        <v>33</v>
      </c>
      <c r="M9" s="2" t="str">
        <f aca="false">IF(L9&gt;=35,"A",IF(L9&gt;=25,"B",IF(L9&gt;=15,"C",IF(L9&gt;=8,"D","F"))))</f>
        <v>B</v>
      </c>
      <c r="N9" s="4" t="s">
        <v>66</v>
      </c>
      <c r="O9" s="4" t="s">
        <v>67</v>
      </c>
      <c r="P9" s="4" t="s">
        <v>27</v>
      </c>
      <c r="Q9" s="4" t="s">
        <v>68</v>
      </c>
      <c r="R9" s="4" t="s">
        <v>29</v>
      </c>
      <c r="S9" s="2" t="s">
        <v>69</v>
      </c>
    </row>
    <row r="10" customFormat="false" ht="15" hidden="false" customHeight="false" outlineLevel="0" collapsed="false">
      <c r="A10" s="2" t="s">
        <v>70</v>
      </c>
      <c r="B10" s="2" t="s">
        <v>20</v>
      </c>
      <c r="C10" s="2" t="s">
        <v>71</v>
      </c>
      <c r="D10" s="2" t="s">
        <v>72</v>
      </c>
      <c r="E10" s="2" t="s">
        <v>73</v>
      </c>
      <c r="F10" s="2" t="s">
        <v>24</v>
      </c>
      <c r="G10" s="3" t="n">
        <v>20</v>
      </c>
      <c r="H10" s="3" t="n">
        <v>-3</v>
      </c>
      <c r="I10" s="3" t="n">
        <v>0</v>
      </c>
      <c r="J10" s="3" t="n">
        <v>0</v>
      </c>
      <c r="K10" s="3" t="n">
        <v>0</v>
      </c>
      <c r="L10" s="2" t="n">
        <f aca="false">SUM(G10:K10)</f>
        <v>17</v>
      </c>
      <c r="M10" s="2" t="str">
        <f aca="false">IF(L10&gt;=35,"A",IF(L10&gt;=25,"B",IF(L10&gt;=15,"C",IF(L10&gt;=8,"D","F"))))</f>
        <v>C</v>
      </c>
      <c r="N10" s="4" t="s">
        <v>25</v>
      </c>
      <c r="O10" s="4" t="s">
        <v>74</v>
      </c>
      <c r="P10" s="4" t="s">
        <v>27</v>
      </c>
      <c r="Q10" s="4" t="s">
        <v>28</v>
      </c>
      <c r="R10" s="4" t="s">
        <v>29</v>
      </c>
      <c r="S10" s="2" t="s">
        <v>30</v>
      </c>
    </row>
    <row r="11" customFormat="false" ht="15" hidden="false" customHeight="false" outlineLevel="0" collapsed="false">
      <c r="A11" s="2" t="s">
        <v>75</v>
      </c>
      <c r="B11" s="2" t="s">
        <v>20</v>
      </c>
      <c r="C11" s="2" t="s">
        <v>76</v>
      </c>
      <c r="D11" s="2" t="s">
        <v>77</v>
      </c>
      <c r="E11" s="2" t="s">
        <v>78</v>
      </c>
      <c r="F11" s="2" t="s">
        <v>79</v>
      </c>
      <c r="G11" s="3" t="n">
        <v>25</v>
      </c>
      <c r="H11" s="3" t="n">
        <v>0</v>
      </c>
      <c r="I11" s="3" t="n">
        <v>0</v>
      </c>
      <c r="J11" s="3" t="n">
        <v>0</v>
      </c>
      <c r="K11" s="3" t="n">
        <v>0</v>
      </c>
      <c r="L11" s="2" t="n">
        <f aca="false">SUM(G11:K11)</f>
        <v>25</v>
      </c>
      <c r="M11" s="2" t="str">
        <f aca="false">IF(L11&gt;=35,"A",IF(L11&gt;=25,"B",IF(L11&gt;=15,"C",IF(L11&gt;=8,"D","F"))))</f>
        <v>B</v>
      </c>
      <c r="N11" s="4" t="s">
        <v>66</v>
      </c>
      <c r="O11" s="4" t="s">
        <v>67</v>
      </c>
      <c r="P11" s="4" t="s">
        <v>27</v>
      </c>
      <c r="Q11" s="4" t="s">
        <v>28</v>
      </c>
      <c r="R11" s="4" t="s">
        <v>29</v>
      </c>
      <c r="S11" s="2" t="s">
        <v>30</v>
      </c>
    </row>
    <row r="12" customFormat="false" ht="15" hidden="false" customHeight="false" outlineLevel="0" collapsed="false">
      <c r="A12" s="2" t="s">
        <v>80</v>
      </c>
      <c r="B12" s="2" t="s">
        <v>20</v>
      </c>
      <c r="C12" s="2" t="s">
        <v>81</v>
      </c>
      <c r="D12" s="2" t="s">
        <v>82</v>
      </c>
      <c r="E12" s="2" t="s">
        <v>83</v>
      </c>
      <c r="F12" s="2" t="s">
        <v>84</v>
      </c>
      <c r="G12" s="3" t="n">
        <v>20</v>
      </c>
      <c r="H12" s="3" t="n">
        <v>6</v>
      </c>
      <c r="I12" s="3" t="n">
        <v>5</v>
      </c>
      <c r="J12" s="3" t="n">
        <v>8</v>
      </c>
      <c r="K12" s="3" t="n">
        <v>0</v>
      </c>
      <c r="L12" s="2" t="n">
        <f aca="false">SUM(G12:K12)</f>
        <v>39</v>
      </c>
      <c r="M12" s="2" t="str">
        <f aca="false">IF(L12&gt;=35,"A",IF(L12&gt;=25,"B",IF(L12&gt;=15,"C",IF(L12&gt;=8,"D","F"))))</f>
        <v>A</v>
      </c>
      <c r="N12" s="4" t="s">
        <v>25</v>
      </c>
      <c r="O12" s="4" t="s">
        <v>85</v>
      </c>
      <c r="P12" s="4" t="s">
        <v>86</v>
      </c>
      <c r="Q12" s="4" t="s">
        <v>68</v>
      </c>
      <c r="R12" s="4" t="s">
        <v>29</v>
      </c>
      <c r="S12" s="2" t="s">
        <v>30</v>
      </c>
    </row>
    <row r="13" customFormat="false" ht="15" hidden="false" customHeight="false" outlineLevel="0" collapsed="false">
      <c r="A13" s="2" t="s">
        <v>87</v>
      </c>
      <c r="B13" s="2" t="s">
        <v>20</v>
      </c>
      <c r="C13" s="2" t="s">
        <v>88</v>
      </c>
      <c r="D13" s="2" t="s">
        <v>72</v>
      </c>
      <c r="E13" s="2" t="s">
        <v>89</v>
      </c>
      <c r="F13" s="2" t="s">
        <v>24</v>
      </c>
      <c r="G13" s="3" t="n">
        <v>20</v>
      </c>
      <c r="H13" s="3" t="n">
        <v>-10</v>
      </c>
      <c r="I13" s="3" t="n">
        <v>0</v>
      </c>
      <c r="J13" s="3" t="n">
        <v>0</v>
      </c>
      <c r="K13" s="3" t="n">
        <v>0</v>
      </c>
      <c r="L13" s="2" t="n">
        <f aca="false">SUM(G13:K13)</f>
        <v>10</v>
      </c>
      <c r="M13" s="2" t="str">
        <f aca="false">IF(L13&gt;=35,"A",IF(L13&gt;=25,"B",IF(L13&gt;=15,"C",IF(L13&gt;=8,"D","F"))))</f>
        <v>D</v>
      </c>
      <c r="N13" s="4" t="s">
        <v>25</v>
      </c>
      <c r="O13" s="4" t="s">
        <v>90</v>
      </c>
      <c r="P13" s="4" t="s">
        <v>27</v>
      </c>
      <c r="Q13" s="4" t="s">
        <v>28</v>
      </c>
      <c r="R13" s="4" t="s">
        <v>29</v>
      </c>
      <c r="S13" s="2" t="s">
        <v>30</v>
      </c>
    </row>
    <row r="14" customFormat="false" ht="15" hidden="false" customHeight="false" outlineLevel="0" collapsed="false">
      <c r="A14" s="2" t="s">
        <v>91</v>
      </c>
      <c r="B14" s="2" t="s">
        <v>20</v>
      </c>
      <c r="C14" s="2" t="s">
        <v>92</v>
      </c>
      <c r="D14" s="2" t="s">
        <v>93</v>
      </c>
      <c r="E14" s="2" t="s">
        <v>94</v>
      </c>
      <c r="F14" s="2" t="s">
        <v>65</v>
      </c>
      <c r="G14" s="3" t="n">
        <v>25</v>
      </c>
      <c r="H14" s="3" t="n">
        <v>0</v>
      </c>
      <c r="I14" s="3" t="n">
        <v>0</v>
      </c>
      <c r="J14" s="3" t="n">
        <v>8</v>
      </c>
      <c r="K14" s="3" t="n">
        <v>0</v>
      </c>
      <c r="L14" s="2" t="n">
        <f aca="false">SUM(G14:K14)</f>
        <v>33</v>
      </c>
      <c r="M14" s="2" t="str">
        <f aca="false">IF(L14&gt;=35,"A",IF(L14&gt;=25,"B",IF(L14&gt;=15,"C",IF(L14&gt;=8,"D","F"))))</f>
        <v>B</v>
      </c>
      <c r="N14" s="4" t="s">
        <v>66</v>
      </c>
      <c r="O14" s="4" t="s">
        <v>67</v>
      </c>
      <c r="P14" s="4" t="s">
        <v>27</v>
      </c>
      <c r="Q14" s="4" t="s">
        <v>68</v>
      </c>
      <c r="R14" s="4" t="s">
        <v>29</v>
      </c>
      <c r="S14" s="2" t="s">
        <v>69</v>
      </c>
    </row>
    <row r="15" customFormat="false" ht="15" hidden="false" customHeight="false" outlineLevel="0" collapsed="false">
      <c r="A15" s="2" t="s">
        <v>95</v>
      </c>
      <c r="B15" s="2" t="s">
        <v>20</v>
      </c>
      <c r="C15" s="2" t="s">
        <v>96</v>
      </c>
      <c r="D15" s="2" t="s">
        <v>97</v>
      </c>
      <c r="E15" s="2" t="s">
        <v>98</v>
      </c>
      <c r="F15" s="2" t="s">
        <v>24</v>
      </c>
      <c r="G15" s="3" t="n">
        <v>20</v>
      </c>
      <c r="H15" s="3" t="n">
        <v>-10</v>
      </c>
      <c r="I15" s="3" t="n">
        <v>0</v>
      </c>
      <c r="J15" s="3" t="n">
        <v>0</v>
      </c>
      <c r="K15" s="3" t="n">
        <v>0</v>
      </c>
      <c r="L15" s="2" t="n">
        <f aca="false">SUM(G15:K15)</f>
        <v>10</v>
      </c>
      <c r="M15" s="2" t="str">
        <f aca="false">IF(L15&gt;=35,"A",IF(L15&gt;=25,"B",IF(L15&gt;=15,"C",IF(L15&gt;=8,"D","F"))))</f>
        <v>D</v>
      </c>
      <c r="N15" s="4" t="s">
        <v>25</v>
      </c>
      <c r="O15" s="4" t="s">
        <v>99</v>
      </c>
      <c r="P15" s="4" t="s">
        <v>27</v>
      </c>
      <c r="Q15" s="4" t="s">
        <v>28</v>
      </c>
      <c r="R15" s="4" t="s">
        <v>29</v>
      </c>
      <c r="S15" s="2" t="s">
        <v>30</v>
      </c>
    </row>
    <row r="16" customFormat="false" ht="15" hidden="false" customHeight="false" outlineLevel="0" collapsed="false">
      <c r="A16" s="2" t="s">
        <v>100</v>
      </c>
      <c r="B16" s="2" t="s">
        <v>20</v>
      </c>
      <c r="C16" s="2" t="s">
        <v>101</v>
      </c>
      <c r="D16" s="2" t="s">
        <v>47</v>
      </c>
      <c r="E16" s="2" t="s">
        <v>102</v>
      </c>
      <c r="F16" s="2" t="s">
        <v>24</v>
      </c>
      <c r="G16" s="3" t="n">
        <v>20</v>
      </c>
      <c r="H16" s="3" t="n">
        <v>-3</v>
      </c>
      <c r="I16" s="3" t="n">
        <v>0</v>
      </c>
      <c r="J16" s="3" t="n">
        <v>0</v>
      </c>
      <c r="K16" s="3" t="n">
        <v>0</v>
      </c>
      <c r="L16" s="2" t="n">
        <f aca="false">SUM(G16:K16)</f>
        <v>17</v>
      </c>
      <c r="M16" s="2" t="str">
        <f aca="false">IF(L16&gt;=35,"A",IF(L16&gt;=25,"B",IF(L16&gt;=15,"C",IF(L16&gt;=8,"D","F"))))</f>
        <v>C</v>
      </c>
      <c r="N16" s="4" t="s">
        <v>25</v>
      </c>
      <c r="O16" s="4" t="s">
        <v>103</v>
      </c>
      <c r="P16" s="4" t="s">
        <v>27</v>
      </c>
      <c r="Q16" s="4" t="s">
        <v>28</v>
      </c>
      <c r="R16" s="4" t="s">
        <v>29</v>
      </c>
      <c r="S16" s="2" t="s">
        <v>30</v>
      </c>
    </row>
    <row r="17" customFormat="false" ht="15" hidden="false" customHeight="false" outlineLevel="0" collapsed="false">
      <c r="A17" s="2" t="s">
        <v>104</v>
      </c>
      <c r="B17" s="2" t="s">
        <v>20</v>
      </c>
      <c r="C17" s="2" t="s">
        <v>105</v>
      </c>
      <c r="D17" s="2" t="s">
        <v>47</v>
      </c>
      <c r="E17" s="2" t="s">
        <v>106</v>
      </c>
      <c r="F17" s="2" t="s">
        <v>24</v>
      </c>
      <c r="G17" s="3" t="n">
        <v>20</v>
      </c>
      <c r="H17" s="3" t="n">
        <v>6</v>
      </c>
      <c r="I17" s="3" t="n">
        <v>15</v>
      </c>
      <c r="J17" s="3" t="n">
        <v>0</v>
      </c>
      <c r="K17" s="3" t="n">
        <v>0</v>
      </c>
      <c r="L17" s="2" t="n">
        <f aca="false">SUM(G17:K17)</f>
        <v>41</v>
      </c>
      <c r="M17" s="2" t="str">
        <f aca="false">IF(L17&gt;=35,"A",IF(L17&gt;=25,"B",IF(L17&gt;=15,"C",IF(L17&gt;=8,"D","F"))))</f>
        <v>A</v>
      </c>
      <c r="N17" s="4" t="s">
        <v>25</v>
      </c>
      <c r="O17" s="4" t="s">
        <v>85</v>
      </c>
      <c r="P17" s="4" t="s">
        <v>107</v>
      </c>
      <c r="Q17" s="4" t="s">
        <v>28</v>
      </c>
      <c r="R17" s="4" t="s">
        <v>29</v>
      </c>
      <c r="S17" s="2" t="s">
        <v>30</v>
      </c>
    </row>
    <row r="18" customFormat="false" ht="15" hidden="false" customHeight="false" outlineLevel="0" collapsed="false">
      <c r="A18" s="2" t="s">
        <v>108</v>
      </c>
      <c r="B18" s="2" t="s">
        <v>20</v>
      </c>
      <c r="C18" s="2" t="s">
        <v>109</v>
      </c>
      <c r="D18" s="2" t="s">
        <v>110</v>
      </c>
      <c r="E18" s="2" t="s">
        <v>111</v>
      </c>
      <c r="F18" s="2" t="s">
        <v>112</v>
      </c>
      <c r="G18" s="3" t="n">
        <v>25</v>
      </c>
      <c r="H18" s="3" t="n">
        <v>0</v>
      </c>
      <c r="I18" s="3" t="n">
        <v>0</v>
      </c>
      <c r="J18" s="3" t="n">
        <v>8</v>
      </c>
      <c r="K18" s="3" t="n">
        <v>0</v>
      </c>
      <c r="L18" s="2" t="n">
        <f aca="false">SUM(G18:K18)</f>
        <v>33</v>
      </c>
      <c r="M18" s="2" t="str">
        <f aca="false">IF(L18&gt;=35,"A",IF(L18&gt;=25,"B",IF(L18&gt;=15,"C",IF(L18&gt;=8,"D","F"))))</f>
        <v>B</v>
      </c>
      <c r="N18" s="4" t="s">
        <v>66</v>
      </c>
      <c r="O18" s="4" t="s">
        <v>67</v>
      </c>
      <c r="P18" s="4" t="s">
        <v>27</v>
      </c>
      <c r="Q18" s="4" t="s">
        <v>68</v>
      </c>
      <c r="R18" s="4" t="s">
        <v>29</v>
      </c>
      <c r="S18" s="2" t="s">
        <v>69</v>
      </c>
    </row>
    <row r="19" customFormat="false" ht="15" hidden="false" customHeight="false" outlineLevel="0" collapsed="false">
      <c r="A19" s="2" t="s">
        <v>113</v>
      </c>
      <c r="B19" s="2" t="s">
        <v>20</v>
      </c>
      <c r="C19" s="2" t="s">
        <v>114</v>
      </c>
      <c r="D19" s="2" t="s">
        <v>115</v>
      </c>
      <c r="E19" s="2" t="s">
        <v>116</v>
      </c>
      <c r="F19" s="2" t="s">
        <v>65</v>
      </c>
      <c r="G19" s="3" t="n">
        <v>25</v>
      </c>
      <c r="H19" s="3" t="n">
        <v>0</v>
      </c>
      <c r="I19" s="3" t="n">
        <v>0</v>
      </c>
      <c r="J19" s="3" t="n">
        <v>8</v>
      </c>
      <c r="K19" s="3" t="n">
        <v>0</v>
      </c>
      <c r="L19" s="2" t="n">
        <f aca="false">SUM(G19:K19)</f>
        <v>33</v>
      </c>
      <c r="M19" s="2" t="str">
        <f aca="false">IF(L19&gt;=35,"A",IF(L19&gt;=25,"B",IF(L19&gt;=15,"C",IF(L19&gt;=8,"D","F"))))</f>
        <v>B</v>
      </c>
      <c r="N19" s="4" t="s">
        <v>66</v>
      </c>
      <c r="O19" s="4" t="s">
        <v>67</v>
      </c>
      <c r="P19" s="4" t="s">
        <v>27</v>
      </c>
      <c r="Q19" s="4" t="s">
        <v>68</v>
      </c>
      <c r="R19" s="4" t="s">
        <v>29</v>
      </c>
      <c r="S19" s="2" t="s">
        <v>69</v>
      </c>
    </row>
    <row r="20" customFormat="false" ht="15" hidden="false" customHeight="false" outlineLevel="0" collapsed="false">
      <c r="A20" s="2" t="s">
        <v>117</v>
      </c>
      <c r="B20" s="2" t="s">
        <v>118</v>
      </c>
      <c r="C20" s="2" t="s">
        <v>119</v>
      </c>
      <c r="D20" s="2" t="s">
        <v>120</v>
      </c>
      <c r="E20" s="2" t="s">
        <v>121</v>
      </c>
      <c r="F20" s="2" t="s">
        <v>122</v>
      </c>
      <c r="G20" s="3" t="n">
        <v>10</v>
      </c>
      <c r="H20" s="3" t="n">
        <v>12</v>
      </c>
      <c r="I20" s="3" t="n">
        <v>10</v>
      </c>
      <c r="J20" s="3" t="n">
        <v>0</v>
      </c>
      <c r="K20" s="3" t="n">
        <v>0</v>
      </c>
      <c r="L20" s="2" t="n">
        <f aca="false">SUM(G20:K20)</f>
        <v>32</v>
      </c>
      <c r="M20" s="2" t="str">
        <f aca="false">IF(L20&gt;=35,"A",IF(L20&gt;=25,"B",IF(L20&gt;=15,"C",IF(L20&gt;=8,"D","F"))))</f>
        <v>B</v>
      </c>
      <c r="N20" s="4" t="s">
        <v>123</v>
      </c>
      <c r="O20" s="4" t="s">
        <v>124</v>
      </c>
      <c r="P20" s="4" t="s">
        <v>125</v>
      </c>
      <c r="Q20" s="4" t="s">
        <v>28</v>
      </c>
      <c r="R20" s="4" t="s">
        <v>29</v>
      </c>
      <c r="S20" s="2" t="s">
        <v>30</v>
      </c>
    </row>
    <row r="21" customFormat="false" ht="15" hidden="false" customHeight="false" outlineLevel="0" collapsed="false">
      <c r="A21" s="2" t="s">
        <v>126</v>
      </c>
      <c r="B21" s="2" t="s">
        <v>118</v>
      </c>
      <c r="C21" s="2" t="s">
        <v>127</v>
      </c>
      <c r="D21" s="2" t="s">
        <v>128</v>
      </c>
      <c r="E21" s="2" t="s">
        <v>129</v>
      </c>
      <c r="F21" s="2" t="s">
        <v>122</v>
      </c>
      <c r="G21" s="3" t="n">
        <v>10</v>
      </c>
      <c r="H21" s="3" t="n">
        <v>6</v>
      </c>
      <c r="I21" s="3" t="n">
        <v>15</v>
      </c>
      <c r="J21" s="3" t="n">
        <v>15</v>
      </c>
      <c r="K21" s="3" t="n">
        <v>0</v>
      </c>
      <c r="L21" s="2" t="n">
        <f aca="false">SUM(G21:K21)</f>
        <v>46</v>
      </c>
      <c r="M21" s="2" t="str">
        <f aca="false">IF(L21&gt;=35,"A",IF(L21&gt;=25,"B",IF(L21&gt;=15,"C",IF(L21&gt;=8,"D","F"))))</f>
        <v>A</v>
      </c>
      <c r="N21" s="4" t="s">
        <v>123</v>
      </c>
      <c r="O21" s="4" t="s">
        <v>85</v>
      </c>
      <c r="P21" s="4" t="s">
        <v>107</v>
      </c>
      <c r="Q21" s="4" t="s">
        <v>130</v>
      </c>
      <c r="R21" s="4" t="s">
        <v>29</v>
      </c>
      <c r="S21" s="2" t="s">
        <v>30</v>
      </c>
    </row>
    <row r="22" customFormat="false" ht="15" hidden="false" customHeight="false" outlineLevel="0" collapsed="false">
      <c r="A22" s="2" t="s">
        <v>131</v>
      </c>
      <c r="B22" s="2" t="s">
        <v>118</v>
      </c>
      <c r="C22" s="2" t="s">
        <v>132</v>
      </c>
      <c r="D22" s="2" t="s">
        <v>133</v>
      </c>
      <c r="E22" s="2" t="s">
        <v>134</v>
      </c>
      <c r="F22" s="2" t="s">
        <v>135</v>
      </c>
      <c r="G22" s="3" t="n">
        <v>15</v>
      </c>
      <c r="H22" s="3" t="n">
        <v>0</v>
      </c>
      <c r="I22" s="3" t="n">
        <v>0</v>
      </c>
      <c r="J22" s="3" t="n">
        <v>0</v>
      </c>
      <c r="K22" s="3" t="n">
        <v>0</v>
      </c>
      <c r="L22" s="2" t="n">
        <f aca="false">SUM(G22:K22)</f>
        <v>15</v>
      </c>
      <c r="M22" s="2" t="str">
        <f aca="false">IF(L22&gt;=35,"A",IF(L22&gt;=25,"B",IF(L22&gt;=15,"C",IF(L22&gt;=8,"D","F"))))</f>
        <v>C</v>
      </c>
      <c r="N22" s="4" t="s">
        <v>136</v>
      </c>
      <c r="O22" s="4" t="s">
        <v>67</v>
      </c>
      <c r="P22" s="4" t="s">
        <v>27</v>
      </c>
      <c r="Q22" s="4" t="s">
        <v>28</v>
      </c>
      <c r="R22" s="4" t="s">
        <v>29</v>
      </c>
      <c r="S22" s="2" t="s">
        <v>30</v>
      </c>
    </row>
    <row r="23" customFormat="false" ht="15" hidden="false" customHeight="false" outlineLevel="0" collapsed="false">
      <c r="A23" s="2" t="s">
        <v>137</v>
      </c>
      <c r="B23" s="2" t="s">
        <v>118</v>
      </c>
      <c r="C23" s="2" t="s">
        <v>138</v>
      </c>
      <c r="D23" s="2" t="s">
        <v>139</v>
      </c>
      <c r="E23" s="2" t="s">
        <v>140</v>
      </c>
      <c r="F23" s="2" t="s">
        <v>141</v>
      </c>
      <c r="G23" s="3" t="n">
        <v>10</v>
      </c>
      <c r="H23" s="3" t="n">
        <v>12</v>
      </c>
      <c r="I23" s="3" t="n">
        <v>5</v>
      </c>
      <c r="J23" s="3" t="n">
        <v>0</v>
      </c>
      <c r="K23" s="3" t="n">
        <v>-5</v>
      </c>
      <c r="L23" s="2" t="n">
        <f aca="false">SUM(G23:K23)</f>
        <v>22</v>
      </c>
      <c r="M23" s="2" t="str">
        <f aca="false">IF(L23&gt;=35,"A",IF(L23&gt;=25,"B",IF(L23&gt;=15,"C",IF(L23&gt;=8,"D","F"))))</f>
        <v>C</v>
      </c>
      <c r="N23" s="4" t="s">
        <v>123</v>
      </c>
      <c r="O23" s="4" t="s">
        <v>124</v>
      </c>
      <c r="P23" s="4" t="s">
        <v>142</v>
      </c>
      <c r="Q23" s="4" t="s">
        <v>28</v>
      </c>
      <c r="R23" s="4" t="s">
        <v>143</v>
      </c>
      <c r="S23" s="2" t="s">
        <v>30</v>
      </c>
    </row>
    <row r="24" customFormat="false" ht="15" hidden="false" customHeight="false" outlineLevel="0" collapsed="false">
      <c r="A24" s="2" t="s">
        <v>144</v>
      </c>
      <c r="B24" s="2" t="s">
        <v>118</v>
      </c>
      <c r="C24" s="2" t="s">
        <v>145</v>
      </c>
      <c r="D24" s="2" t="s">
        <v>146</v>
      </c>
      <c r="E24" s="2" t="s">
        <v>147</v>
      </c>
      <c r="F24" s="2" t="s">
        <v>148</v>
      </c>
      <c r="G24" s="3" t="n">
        <v>15</v>
      </c>
      <c r="H24" s="3" t="n">
        <v>6</v>
      </c>
      <c r="I24" s="3" t="n">
        <v>15</v>
      </c>
      <c r="J24" s="3" t="n">
        <v>0</v>
      </c>
      <c r="K24" s="3" t="n">
        <v>0</v>
      </c>
      <c r="L24" s="2" t="n">
        <f aca="false">SUM(G24:K24)</f>
        <v>36</v>
      </c>
      <c r="M24" s="2" t="str">
        <f aca="false">IF(L24&gt;=35,"A",IF(L24&gt;=25,"B",IF(L24&gt;=15,"C",IF(L24&gt;=8,"D","F"))))</f>
        <v>A</v>
      </c>
      <c r="N24" s="4" t="s">
        <v>136</v>
      </c>
      <c r="O24" s="4" t="s">
        <v>85</v>
      </c>
      <c r="P24" s="4" t="s">
        <v>107</v>
      </c>
      <c r="Q24" s="4" t="s">
        <v>28</v>
      </c>
      <c r="R24" s="4" t="s">
        <v>29</v>
      </c>
      <c r="S24" s="2" t="s">
        <v>30</v>
      </c>
    </row>
    <row r="25" customFormat="false" ht="15" hidden="false" customHeight="false" outlineLevel="0" collapsed="false">
      <c r="A25" s="2" t="s">
        <v>149</v>
      </c>
      <c r="B25" s="2" t="s">
        <v>118</v>
      </c>
      <c r="C25" s="2" t="s">
        <v>150</v>
      </c>
      <c r="D25" s="2" t="s">
        <v>151</v>
      </c>
      <c r="E25" s="2" t="s">
        <v>152</v>
      </c>
      <c r="F25" s="2" t="s">
        <v>122</v>
      </c>
      <c r="G25" s="3" t="n">
        <v>10</v>
      </c>
      <c r="H25" s="3" t="n">
        <v>6</v>
      </c>
      <c r="I25" s="3" t="n">
        <v>5</v>
      </c>
      <c r="J25" s="3" t="n">
        <v>0</v>
      </c>
      <c r="K25" s="3" t="n">
        <v>0</v>
      </c>
      <c r="L25" s="2" t="n">
        <f aca="false">SUM(G25:K25)</f>
        <v>21</v>
      </c>
      <c r="M25" s="2" t="str">
        <f aca="false">IF(L25&gt;=35,"A",IF(L25&gt;=25,"B",IF(L25&gt;=15,"C",IF(L25&gt;=8,"D","F"))))</f>
        <v>C</v>
      </c>
      <c r="N25" s="4" t="s">
        <v>123</v>
      </c>
      <c r="O25" s="4" t="s">
        <v>85</v>
      </c>
      <c r="P25" s="4" t="s">
        <v>86</v>
      </c>
      <c r="Q25" s="4" t="s">
        <v>28</v>
      </c>
      <c r="R25" s="4" t="s">
        <v>29</v>
      </c>
      <c r="S25" s="2" t="s">
        <v>30</v>
      </c>
    </row>
    <row r="26" customFormat="false" ht="15" hidden="false" customHeight="false" outlineLevel="0" collapsed="false">
      <c r="A26" s="2" t="s">
        <v>153</v>
      </c>
      <c r="B26" s="2" t="s">
        <v>118</v>
      </c>
      <c r="C26" s="2" t="s">
        <v>154</v>
      </c>
      <c r="D26" s="2" t="s">
        <v>133</v>
      </c>
      <c r="E26" s="2" t="s">
        <v>155</v>
      </c>
      <c r="F26" s="2" t="s">
        <v>156</v>
      </c>
      <c r="G26" s="3" t="n">
        <v>10</v>
      </c>
      <c r="H26" s="3" t="n">
        <v>0</v>
      </c>
      <c r="I26" s="3" t="n">
        <v>0</v>
      </c>
      <c r="J26" s="3" t="n">
        <v>8</v>
      </c>
      <c r="K26" s="3" t="n">
        <v>0</v>
      </c>
      <c r="L26" s="2" t="n">
        <f aca="false">SUM(G26:K26)</f>
        <v>18</v>
      </c>
      <c r="M26" s="2" t="str">
        <f aca="false">IF(L26&gt;=35,"A",IF(L26&gt;=25,"B",IF(L26&gt;=15,"C",IF(L26&gt;=8,"D","F"))))</f>
        <v>C</v>
      </c>
      <c r="N26" s="4" t="s">
        <v>123</v>
      </c>
      <c r="O26" s="4" t="s">
        <v>67</v>
      </c>
      <c r="P26" s="4" t="s">
        <v>27</v>
      </c>
      <c r="Q26" s="4" t="s">
        <v>68</v>
      </c>
      <c r="R26" s="4" t="s">
        <v>29</v>
      </c>
      <c r="S26" s="2" t="s">
        <v>30</v>
      </c>
    </row>
    <row r="27" customFormat="false" ht="15" hidden="false" customHeight="false" outlineLevel="0" collapsed="false">
      <c r="A27" s="2" t="s">
        <v>157</v>
      </c>
      <c r="B27" s="2" t="s">
        <v>118</v>
      </c>
      <c r="C27" s="2" t="s">
        <v>158</v>
      </c>
      <c r="D27" s="2" t="s">
        <v>159</v>
      </c>
      <c r="E27" s="2" t="s">
        <v>160</v>
      </c>
      <c r="F27" s="2" t="s">
        <v>141</v>
      </c>
      <c r="G27" s="3" t="n">
        <v>10</v>
      </c>
      <c r="H27" s="3" t="n">
        <v>12</v>
      </c>
      <c r="I27" s="3" t="n">
        <v>15</v>
      </c>
      <c r="J27" s="3" t="n">
        <v>7</v>
      </c>
      <c r="K27" s="3" t="n">
        <v>0</v>
      </c>
      <c r="L27" s="2" t="n">
        <f aca="false">SUM(G27:K27)</f>
        <v>44</v>
      </c>
      <c r="M27" s="2" t="str">
        <f aca="false">IF(L27&gt;=35,"A",IF(L27&gt;=25,"B",IF(L27&gt;=15,"C",IF(L27&gt;=8,"D","F"))))</f>
        <v>A</v>
      </c>
      <c r="N27" s="4" t="s">
        <v>123</v>
      </c>
      <c r="O27" s="4" t="s">
        <v>124</v>
      </c>
      <c r="P27" s="4" t="s">
        <v>107</v>
      </c>
      <c r="Q27" s="4" t="s">
        <v>161</v>
      </c>
      <c r="R27" s="4" t="s">
        <v>29</v>
      </c>
      <c r="S27" s="2" t="s">
        <v>30</v>
      </c>
    </row>
    <row r="28" customFormat="false" ht="15" hidden="false" customHeight="false" outlineLevel="0" collapsed="false">
      <c r="A28" s="2" t="s">
        <v>162</v>
      </c>
      <c r="B28" s="2" t="s">
        <v>118</v>
      </c>
      <c r="C28" s="2" t="s">
        <v>163</v>
      </c>
      <c r="D28" s="2" t="s">
        <v>164</v>
      </c>
      <c r="E28" s="2" t="s">
        <v>160</v>
      </c>
      <c r="F28" s="2" t="s">
        <v>141</v>
      </c>
      <c r="G28" s="3" t="n">
        <v>10</v>
      </c>
      <c r="H28" s="3" t="n">
        <v>12</v>
      </c>
      <c r="I28" s="3" t="n">
        <v>20</v>
      </c>
      <c r="J28" s="3" t="n">
        <v>7</v>
      </c>
      <c r="K28" s="3" t="n">
        <v>0</v>
      </c>
      <c r="L28" s="2" t="n">
        <f aca="false">SUM(G28:K28)</f>
        <v>49</v>
      </c>
      <c r="M28" s="2" t="str">
        <f aca="false">IF(L28&gt;=35,"A",IF(L28&gt;=25,"B",IF(L28&gt;=15,"C",IF(L28&gt;=8,"D","F"))))</f>
        <v>A</v>
      </c>
      <c r="N28" s="4" t="s">
        <v>123</v>
      </c>
      <c r="O28" s="4" t="s">
        <v>124</v>
      </c>
      <c r="P28" s="4" t="s">
        <v>165</v>
      </c>
      <c r="Q28" s="4" t="s">
        <v>161</v>
      </c>
      <c r="R28" s="4" t="s">
        <v>29</v>
      </c>
      <c r="S28" s="2" t="s">
        <v>30</v>
      </c>
    </row>
    <row r="29" customFormat="false" ht="15" hidden="false" customHeight="false" outlineLevel="0" collapsed="false">
      <c r="A29" s="2" t="s">
        <v>166</v>
      </c>
      <c r="B29" s="2" t="s">
        <v>118</v>
      </c>
      <c r="C29" s="2" t="s">
        <v>167</v>
      </c>
      <c r="D29" s="2" t="s">
        <v>133</v>
      </c>
      <c r="E29" s="2" t="s">
        <v>168</v>
      </c>
      <c r="F29" s="2" t="s">
        <v>156</v>
      </c>
      <c r="G29" s="3" t="n">
        <v>15</v>
      </c>
      <c r="H29" s="3" t="n">
        <v>6</v>
      </c>
      <c r="I29" s="3" t="n">
        <v>15</v>
      </c>
      <c r="J29" s="3" t="n">
        <v>7</v>
      </c>
      <c r="K29" s="3" t="n">
        <v>0</v>
      </c>
      <c r="L29" s="2" t="n">
        <f aca="false">SUM(G29:K29)</f>
        <v>43</v>
      </c>
      <c r="M29" s="2" t="str">
        <f aca="false">IF(L29&gt;=35,"A",IF(L29&gt;=25,"B",IF(L29&gt;=15,"C",IF(L29&gt;=8,"D","F"))))</f>
        <v>A</v>
      </c>
      <c r="N29" s="4" t="s">
        <v>136</v>
      </c>
      <c r="O29" s="4" t="s">
        <v>85</v>
      </c>
      <c r="P29" s="4" t="s">
        <v>107</v>
      </c>
      <c r="Q29" s="4" t="s">
        <v>161</v>
      </c>
      <c r="R29" s="4" t="s">
        <v>29</v>
      </c>
      <c r="S29" s="2" t="s">
        <v>69</v>
      </c>
    </row>
    <row r="30" customFormat="false" ht="15" hidden="false" customHeight="false" outlineLevel="0" collapsed="false">
      <c r="A30" s="2" t="s">
        <v>169</v>
      </c>
      <c r="B30" s="2" t="s">
        <v>118</v>
      </c>
      <c r="C30" s="2" t="s">
        <v>170</v>
      </c>
      <c r="D30" s="2" t="s">
        <v>120</v>
      </c>
      <c r="E30" s="2" t="s">
        <v>171</v>
      </c>
      <c r="F30" s="2" t="s">
        <v>122</v>
      </c>
      <c r="G30" s="3" t="n">
        <v>10</v>
      </c>
      <c r="H30" s="3" t="n">
        <v>0</v>
      </c>
      <c r="I30" s="3" t="n">
        <v>10</v>
      </c>
      <c r="J30" s="3" t="n">
        <v>7</v>
      </c>
      <c r="K30" s="3" t="n">
        <v>0</v>
      </c>
      <c r="L30" s="2" t="n">
        <f aca="false">SUM(G30:K30)</f>
        <v>27</v>
      </c>
      <c r="M30" s="2" t="str">
        <f aca="false">IF(L30&gt;=35,"A",IF(L30&gt;=25,"B",IF(L30&gt;=15,"C",IF(L30&gt;=8,"D","F"))))</f>
        <v>B</v>
      </c>
      <c r="N30" s="4" t="s">
        <v>123</v>
      </c>
      <c r="O30" s="4" t="s">
        <v>67</v>
      </c>
      <c r="P30" s="4" t="s">
        <v>125</v>
      </c>
      <c r="Q30" s="4" t="s">
        <v>161</v>
      </c>
      <c r="R30" s="4" t="s">
        <v>29</v>
      </c>
      <c r="S30" s="2" t="s">
        <v>30</v>
      </c>
    </row>
    <row r="31" customFormat="false" ht="15" hidden="false" customHeight="false" outlineLevel="0" collapsed="false">
      <c r="A31" s="2" t="s">
        <v>172</v>
      </c>
      <c r="B31" s="2" t="s">
        <v>118</v>
      </c>
      <c r="C31" s="2" t="s">
        <v>173</v>
      </c>
      <c r="D31" s="2" t="s">
        <v>174</v>
      </c>
      <c r="E31" s="2" t="s">
        <v>175</v>
      </c>
      <c r="F31" s="2" t="s">
        <v>176</v>
      </c>
      <c r="G31" s="3" t="n">
        <v>10</v>
      </c>
      <c r="H31" s="3" t="n">
        <v>6</v>
      </c>
      <c r="I31" s="3" t="n">
        <v>0</v>
      </c>
      <c r="J31" s="3" t="n">
        <v>8</v>
      </c>
      <c r="K31" s="3" t="n">
        <v>0</v>
      </c>
      <c r="L31" s="2" t="n">
        <f aca="false">SUM(G31:K31)</f>
        <v>24</v>
      </c>
      <c r="M31" s="2" t="str">
        <f aca="false">IF(L31&gt;=35,"A",IF(L31&gt;=25,"B",IF(L31&gt;=15,"C",IF(L31&gt;=8,"D","F"))))</f>
        <v>C</v>
      </c>
      <c r="N31" s="4" t="s">
        <v>123</v>
      </c>
      <c r="O31" s="4" t="s">
        <v>85</v>
      </c>
      <c r="P31" s="4" t="s">
        <v>27</v>
      </c>
      <c r="Q31" s="4" t="s">
        <v>68</v>
      </c>
      <c r="R31" s="4" t="s">
        <v>29</v>
      </c>
      <c r="S31" s="2" t="s">
        <v>30</v>
      </c>
    </row>
    <row r="32" customFormat="false" ht="15" hidden="false" customHeight="false" outlineLevel="0" collapsed="false">
      <c r="A32" s="2" t="s">
        <v>177</v>
      </c>
      <c r="B32" s="2" t="s">
        <v>118</v>
      </c>
      <c r="C32" s="2" t="s">
        <v>178</v>
      </c>
      <c r="D32" s="2" t="s">
        <v>120</v>
      </c>
      <c r="E32" s="2" t="s">
        <v>179</v>
      </c>
      <c r="F32" s="2" t="s">
        <v>122</v>
      </c>
      <c r="G32" s="3" t="n">
        <v>10</v>
      </c>
      <c r="H32" s="3" t="n">
        <v>6</v>
      </c>
      <c r="I32" s="3" t="n">
        <v>15</v>
      </c>
      <c r="J32" s="3" t="n">
        <v>7</v>
      </c>
      <c r="K32" s="3" t="n">
        <v>0</v>
      </c>
      <c r="L32" s="2" t="n">
        <f aca="false">SUM(G32:K32)</f>
        <v>38</v>
      </c>
      <c r="M32" s="2" t="str">
        <f aca="false">IF(L32&gt;=35,"A",IF(L32&gt;=25,"B",IF(L32&gt;=15,"C",IF(L32&gt;=8,"D","F"))))</f>
        <v>A</v>
      </c>
      <c r="N32" s="4" t="s">
        <v>123</v>
      </c>
      <c r="O32" s="4" t="s">
        <v>85</v>
      </c>
      <c r="P32" s="4" t="s">
        <v>107</v>
      </c>
      <c r="Q32" s="4" t="s">
        <v>161</v>
      </c>
      <c r="R32" s="4" t="s">
        <v>29</v>
      </c>
      <c r="S32" s="2" t="s">
        <v>30</v>
      </c>
    </row>
    <row r="33" customFormat="false" ht="15" hidden="false" customHeight="false" outlineLevel="0" collapsed="false">
      <c r="A33" s="2" t="s">
        <v>180</v>
      </c>
      <c r="B33" s="2" t="s">
        <v>118</v>
      </c>
      <c r="C33" s="2" t="s">
        <v>181</v>
      </c>
      <c r="D33" s="2" t="s">
        <v>146</v>
      </c>
      <c r="E33" s="2" t="s">
        <v>182</v>
      </c>
      <c r="F33" s="2" t="s">
        <v>183</v>
      </c>
      <c r="G33" s="3" t="n">
        <v>15</v>
      </c>
      <c r="H33" s="3" t="n">
        <v>12</v>
      </c>
      <c r="I33" s="3" t="n">
        <v>5</v>
      </c>
      <c r="J33" s="3" t="n">
        <v>8</v>
      </c>
      <c r="K33" s="3" t="n">
        <v>0</v>
      </c>
      <c r="L33" s="2" t="n">
        <f aca="false">SUM(G33:K33)</f>
        <v>40</v>
      </c>
      <c r="M33" s="2" t="str">
        <f aca="false">IF(L33&gt;=35,"A",IF(L33&gt;=25,"B",IF(L33&gt;=15,"C",IF(L33&gt;=8,"D","F"))))</f>
        <v>A</v>
      </c>
      <c r="N33" s="4" t="s">
        <v>136</v>
      </c>
      <c r="O33" s="4" t="s">
        <v>124</v>
      </c>
      <c r="P33" s="4" t="s">
        <v>86</v>
      </c>
      <c r="Q33" s="4" t="s">
        <v>68</v>
      </c>
      <c r="R33" s="4" t="s">
        <v>29</v>
      </c>
      <c r="S33" s="2" t="s">
        <v>30</v>
      </c>
    </row>
    <row r="34" customFormat="false" ht="15" hidden="false" customHeight="false" outlineLevel="0" collapsed="false">
      <c r="A34" s="2" t="s">
        <v>184</v>
      </c>
      <c r="B34" s="2" t="s">
        <v>118</v>
      </c>
      <c r="C34" s="2" t="s">
        <v>185</v>
      </c>
      <c r="D34" s="2" t="s">
        <v>186</v>
      </c>
      <c r="E34" s="2" t="s">
        <v>187</v>
      </c>
      <c r="F34" s="2" t="s">
        <v>188</v>
      </c>
      <c r="G34" s="3" t="n">
        <v>10</v>
      </c>
      <c r="H34" s="3" t="n">
        <v>0</v>
      </c>
      <c r="I34" s="3" t="n">
        <v>0</v>
      </c>
      <c r="J34" s="3" t="n">
        <v>0</v>
      </c>
      <c r="K34" s="3" t="n">
        <v>0</v>
      </c>
      <c r="L34" s="2" t="n">
        <f aca="false">SUM(G34:K34)</f>
        <v>10</v>
      </c>
      <c r="M34" s="2" t="str">
        <f aca="false">IF(L34&gt;=35,"A",IF(L34&gt;=25,"B",IF(L34&gt;=15,"C",IF(L34&gt;=8,"D","F"))))</f>
        <v>D</v>
      </c>
      <c r="N34" s="4" t="s">
        <v>123</v>
      </c>
      <c r="O34" s="4" t="s">
        <v>67</v>
      </c>
      <c r="P34" s="4" t="s">
        <v>27</v>
      </c>
      <c r="Q34" s="4" t="s">
        <v>28</v>
      </c>
      <c r="R34" s="4" t="s">
        <v>29</v>
      </c>
      <c r="S34" s="2" t="s">
        <v>30</v>
      </c>
    </row>
    <row r="35" customFormat="false" ht="15" hidden="false" customHeight="false" outlineLevel="0" collapsed="false">
      <c r="A35" s="2" t="s">
        <v>189</v>
      </c>
      <c r="B35" s="2" t="s">
        <v>118</v>
      </c>
      <c r="C35" s="2" t="s">
        <v>190</v>
      </c>
      <c r="D35" s="2" t="s">
        <v>191</v>
      </c>
      <c r="E35" s="2" t="s">
        <v>192</v>
      </c>
      <c r="F35" s="2" t="s">
        <v>122</v>
      </c>
      <c r="G35" s="3" t="n">
        <v>10</v>
      </c>
      <c r="H35" s="3" t="n">
        <v>12</v>
      </c>
      <c r="I35" s="3" t="n">
        <v>5</v>
      </c>
      <c r="J35" s="3" t="n">
        <v>0</v>
      </c>
      <c r="K35" s="3" t="n">
        <v>0</v>
      </c>
      <c r="L35" s="2" t="n">
        <f aca="false">SUM(G35:K35)</f>
        <v>27</v>
      </c>
      <c r="M35" s="2" t="str">
        <f aca="false">IF(L35&gt;=35,"A",IF(L35&gt;=25,"B",IF(L35&gt;=15,"C",IF(L35&gt;=8,"D","F"))))</f>
        <v>B</v>
      </c>
      <c r="N35" s="4" t="s">
        <v>123</v>
      </c>
      <c r="O35" s="4" t="s">
        <v>124</v>
      </c>
      <c r="P35" s="4" t="s">
        <v>86</v>
      </c>
      <c r="Q35" s="4" t="s">
        <v>28</v>
      </c>
      <c r="R35" s="4" t="s">
        <v>29</v>
      </c>
      <c r="S35" s="2" t="s">
        <v>30</v>
      </c>
    </row>
    <row r="36" customFormat="false" ht="15" hidden="false" customHeight="false" outlineLevel="0" collapsed="false">
      <c r="A36" s="2" t="s">
        <v>193</v>
      </c>
      <c r="B36" s="2" t="s">
        <v>118</v>
      </c>
      <c r="C36" s="2" t="s">
        <v>194</v>
      </c>
      <c r="D36" s="2" t="s">
        <v>195</v>
      </c>
      <c r="E36" s="2" t="s">
        <v>196</v>
      </c>
      <c r="F36" s="2" t="s">
        <v>197</v>
      </c>
      <c r="G36" s="3" t="n">
        <v>15</v>
      </c>
      <c r="H36" s="3" t="n">
        <v>12</v>
      </c>
      <c r="I36" s="3" t="n">
        <v>15</v>
      </c>
      <c r="J36" s="3" t="n">
        <v>0</v>
      </c>
      <c r="K36" s="3" t="n">
        <v>0</v>
      </c>
      <c r="L36" s="2" t="n">
        <f aca="false">SUM(G36:K36)</f>
        <v>42</v>
      </c>
      <c r="M36" s="2" t="str">
        <f aca="false">IF(L36&gt;=35,"A",IF(L36&gt;=25,"B",IF(L36&gt;=15,"C",IF(L36&gt;=8,"D","F"))))</f>
        <v>A</v>
      </c>
      <c r="N36" s="4" t="s">
        <v>136</v>
      </c>
      <c r="O36" s="4" t="s">
        <v>124</v>
      </c>
      <c r="P36" s="4" t="s">
        <v>107</v>
      </c>
      <c r="Q36" s="4" t="s">
        <v>28</v>
      </c>
      <c r="R36" s="4" t="s">
        <v>29</v>
      </c>
      <c r="S36" s="2" t="s">
        <v>30</v>
      </c>
    </row>
    <row r="37" customFormat="false" ht="15" hidden="false" customHeight="false" outlineLevel="0" collapsed="false">
      <c r="A37" s="2" t="s">
        <v>198</v>
      </c>
      <c r="B37" s="2" t="s">
        <v>118</v>
      </c>
      <c r="C37" s="2" t="s">
        <v>199</v>
      </c>
      <c r="D37" s="2" t="s">
        <v>146</v>
      </c>
      <c r="E37" s="2" t="s">
        <v>200</v>
      </c>
      <c r="F37" s="2" t="s">
        <v>201</v>
      </c>
      <c r="G37" s="3" t="n">
        <v>15</v>
      </c>
      <c r="H37" s="3" t="n">
        <v>6</v>
      </c>
      <c r="I37" s="3" t="n">
        <v>15</v>
      </c>
      <c r="J37" s="3" t="n">
        <v>0</v>
      </c>
      <c r="K37" s="3" t="n">
        <v>-5</v>
      </c>
      <c r="L37" s="2" t="n">
        <f aca="false">SUM(G37:K37)</f>
        <v>31</v>
      </c>
      <c r="M37" s="2" t="str">
        <f aca="false">IF(L37&gt;=35,"A",IF(L37&gt;=25,"B",IF(L37&gt;=15,"C",IF(L37&gt;=8,"D","F"))))</f>
        <v>B</v>
      </c>
      <c r="N37" s="4" t="s">
        <v>136</v>
      </c>
      <c r="O37" s="4" t="s">
        <v>85</v>
      </c>
      <c r="P37" s="4" t="s">
        <v>107</v>
      </c>
      <c r="Q37" s="4" t="s">
        <v>28</v>
      </c>
      <c r="R37" s="4" t="s">
        <v>143</v>
      </c>
      <c r="S37" s="2" t="s">
        <v>30</v>
      </c>
    </row>
    <row r="38" customFormat="false" ht="15" hidden="false" customHeight="false" outlineLevel="0" collapsed="false">
      <c r="A38" s="2" t="s">
        <v>202</v>
      </c>
      <c r="B38" s="2" t="s">
        <v>118</v>
      </c>
      <c r="C38" s="2" t="s">
        <v>203</v>
      </c>
      <c r="D38" s="2" t="s">
        <v>204</v>
      </c>
      <c r="E38" s="2" t="s">
        <v>205</v>
      </c>
      <c r="F38" s="2" t="s">
        <v>122</v>
      </c>
      <c r="G38" s="3" t="n">
        <v>10</v>
      </c>
      <c r="H38" s="3" t="n">
        <v>6</v>
      </c>
      <c r="I38" s="3" t="n">
        <v>15</v>
      </c>
      <c r="J38" s="3" t="n">
        <v>0</v>
      </c>
      <c r="K38" s="3" t="n">
        <v>0</v>
      </c>
      <c r="L38" s="2" t="n">
        <f aca="false">SUM(G38:K38)</f>
        <v>31</v>
      </c>
      <c r="M38" s="2" t="str">
        <f aca="false">IF(L38&gt;=35,"A",IF(L38&gt;=25,"B",IF(L38&gt;=15,"C",IF(L38&gt;=8,"D","F"))))</f>
        <v>B</v>
      </c>
      <c r="N38" s="4" t="s">
        <v>123</v>
      </c>
      <c r="O38" s="4" t="s">
        <v>85</v>
      </c>
      <c r="P38" s="4" t="s">
        <v>107</v>
      </c>
      <c r="Q38" s="4" t="s">
        <v>28</v>
      </c>
      <c r="R38" s="4" t="s">
        <v>29</v>
      </c>
      <c r="S38" s="2" t="s">
        <v>30</v>
      </c>
    </row>
    <row r="39" customFormat="false" ht="15" hidden="false" customHeight="false" outlineLevel="0" collapsed="false">
      <c r="A39" s="2" t="s">
        <v>206</v>
      </c>
      <c r="B39" s="2" t="s">
        <v>118</v>
      </c>
      <c r="C39" s="2" t="s">
        <v>207</v>
      </c>
      <c r="D39" s="2" t="s">
        <v>208</v>
      </c>
      <c r="E39" s="2" t="s">
        <v>209</v>
      </c>
      <c r="F39" s="2" t="s">
        <v>141</v>
      </c>
      <c r="G39" s="3" t="n">
        <v>10</v>
      </c>
      <c r="H39" s="3" t="n">
        <v>12</v>
      </c>
      <c r="I39" s="3" t="n">
        <v>15</v>
      </c>
      <c r="J39" s="3" t="n">
        <v>0</v>
      </c>
      <c r="K39" s="3" t="n">
        <v>0</v>
      </c>
      <c r="L39" s="2" t="n">
        <f aca="false">SUM(G39:K39)</f>
        <v>37</v>
      </c>
      <c r="M39" s="2" t="str">
        <f aca="false">IF(L39&gt;=35,"A",IF(L39&gt;=25,"B",IF(L39&gt;=15,"C",IF(L39&gt;=8,"D","F"))))</f>
        <v>A</v>
      </c>
      <c r="N39" s="4" t="s">
        <v>123</v>
      </c>
      <c r="O39" s="4" t="s">
        <v>124</v>
      </c>
      <c r="P39" s="4" t="s">
        <v>107</v>
      </c>
      <c r="Q39" s="4" t="s">
        <v>28</v>
      </c>
      <c r="R39" s="4" t="s">
        <v>29</v>
      </c>
      <c r="S39" s="2" t="s">
        <v>30</v>
      </c>
    </row>
    <row r="40" customFormat="false" ht="15" hidden="false" customHeight="false" outlineLevel="0" collapsed="false">
      <c r="A40" s="2" t="s">
        <v>210</v>
      </c>
      <c r="B40" s="2" t="s">
        <v>118</v>
      </c>
      <c r="C40" s="2" t="s">
        <v>211</v>
      </c>
      <c r="D40" s="2" t="s">
        <v>212</v>
      </c>
      <c r="E40" s="2" t="s">
        <v>213</v>
      </c>
      <c r="F40" s="2" t="s">
        <v>122</v>
      </c>
      <c r="G40" s="3" t="n">
        <v>10</v>
      </c>
      <c r="H40" s="3" t="n">
        <v>6</v>
      </c>
      <c r="I40" s="3" t="n">
        <v>15</v>
      </c>
      <c r="J40" s="3" t="n">
        <v>0</v>
      </c>
      <c r="K40" s="3" t="n">
        <v>0</v>
      </c>
      <c r="L40" s="2" t="n">
        <f aca="false">SUM(G40:K40)</f>
        <v>31</v>
      </c>
      <c r="M40" s="2" t="str">
        <f aca="false">IF(L40&gt;=35,"A",IF(L40&gt;=25,"B",IF(L40&gt;=15,"C",IF(L40&gt;=8,"D","F"))))</f>
        <v>B</v>
      </c>
      <c r="N40" s="4" t="s">
        <v>123</v>
      </c>
      <c r="O40" s="4" t="s">
        <v>85</v>
      </c>
      <c r="P40" s="4" t="s">
        <v>107</v>
      </c>
      <c r="Q40" s="4" t="s">
        <v>28</v>
      </c>
      <c r="R40" s="4" t="s">
        <v>29</v>
      </c>
      <c r="S40" s="2" t="s">
        <v>30</v>
      </c>
    </row>
    <row r="41" customFormat="false" ht="15" hidden="false" customHeight="false" outlineLevel="0" collapsed="false">
      <c r="A41" s="2" t="s">
        <v>214</v>
      </c>
      <c r="B41" s="2" t="s">
        <v>118</v>
      </c>
      <c r="C41" s="2" t="s">
        <v>215</v>
      </c>
      <c r="D41" s="2" t="s">
        <v>191</v>
      </c>
      <c r="E41" s="2" t="s">
        <v>216</v>
      </c>
      <c r="F41" s="2" t="s">
        <v>122</v>
      </c>
      <c r="G41" s="3" t="n">
        <v>10</v>
      </c>
      <c r="H41" s="3" t="n">
        <v>6</v>
      </c>
      <c r="I41" s="3" t="n">
        <v>5</v>
      </c>
      <c r="J41" s="3" t="n">
        <v>7</v>
      </c>
      <c r="K41" s="3" t="n">
        <v>0</v>
      </c>
      <c r="L41" s="2" t="n">
        <f aca="false">SUM(G41:K41)</f>
        <v>28</v>
      </c>
      <c r="M41" s="2" t="str">
        <f aca="false">IF(L41&gt;=35,"A",IF(L41&gt;=25,"B",IF(L41&gt;=15,"C",IF(L41&gt;=8,"D","F"))))</f>
        <v>B</v>
      </c>
      <c r="N41" s="4" t="s">
        <v>123</v>
      </c>
      <c r="O41" s="4" t="s">
        <v>85</v>
      </c>
      <c r="P41" s="4" t="s">
        <v>86</v>
      </c>
      <c r="Q41" s="4" t="s">
        <v>161</v>
      </c>
      <c r="R41" s="4" t="s">
        <v>29</v>
      </c>
      <c r="S41" s="2" t="s">
        <v>30</v>
      </c>
    </row>
    <row r="42" customFormat="false" ht="15" hidden="false" customHeight="false" outlineLevel="0" collapsed="false">
      <c r="A42" s="2" t="s">
        <v>217</v>
      </c>
      <c r="B42" s="2" t="s">
        <v>218</v>
      </c>
      <c r="C42" s="2" t="s">
        <v>219</v>
      </c>
      <c r="D42" s="2" t="s">
        <v>218</v>
      </c>
      <c r="E42" s="2" t="s">
        <v>220</v>
      </c>
      <c r="F42" s="2" t="s">
        <v>79</v>
      </c>
      <c r="G42" s="3" t="n">
        <v>5</v>
      </c>
      <c r="H42" s="3" t="n">
        <v>0</v>
      </c>
      <c r="I42" s="3" t="n">
        <v>0</v>
      </c>
      <c r="J42" s="3" t="n">
        <v>0</v>
      </c>
      <c r="K42" s="3" t="n">
        <v>-5</v>
      </c>
      <c r="L42" s="2" t="n">
        <f aca="false">SUM(G42:K42)</f>
        <v>0</v>
      </c>
      <c r="M42" s="2" t="str">
        <f aca="false">IF(L42&gt;=35,"A",IF(L42&gt;=25,"B",IF(L42&gt;=15,"C",IF(L42&gt;=8,"D","F"))))</f>
        <v>F</v>
      </c>
      <c r="N42" s="4" t="s">
        <v>221</v>
      </c>
      <c r="O42" s="4" t="s">
        <v>67</v>
      </c>
      <c r="P42" s="4" t="s">
        <v>27</v>
      </c>
      <c r="Q42" s="4" t="s">
        <v>28</v>
      </c>
      <c r="R42" s="4" t="s">
        <v>222</v>
      </c>
      <c r="S42" s="2" t="s">
        <v>30</v>
      </c>
    </row>
    <row r="43" customFormat="false" ht="15" hidden="false" customHeight="false" outlineLevel="0" collapsed="false">
      <c r="A43" s="2" t="s">
        <v>223</v>
      </c>
      <c r="B43" s="2" t="s">
        <v>218</v>
      </c>
      <c r="C43" s="2" t="s">
        <v>224</v>
      </c>
      <c r="D43" s="2" t="s">
        <v>218</v>
      </c>
      <c r="E43" s="2" t="s">
        <v>225</v>
      </c>
      <c r="F43" s="2" t="s">
        <v>226</v>
      </c>
      <c r="G43" s="3" t="n">
        <v>5</v>
      </c>
      <c r="H43" s="3" t="n">
        <v>0</v>
      </c>
      <c r="I43" s="3" t="n">
        <v>0</v>
      </c>
      <c r="J43" s="3" t="n">
        <v>8</v>
      </c>
      <c r="K43" s="3" t="n">
        <v>-5</v>
      </c>
      <c r="L43" s="2" t="n">
        <f aca="false">SUM(G43:K43)</f>
        <v>8</v>
      </c>
      <c r="M43" s="2" t="str">
        <f aca="false">IF(L43&gt;=35,"A",IF(L43&gt;=25,"B",IF(L43&gt;=15,"C",IF(L43&gt;=8,"D","F"))))</f>
        <v>D</v>
      </c>
      <c r="N43" s="4" t="s">
        <v>221</v>
      </c>
      <c r="O43" s="4" t="s">
        <v>67</v>
      </c>
      <c r="P43" s="4" t="s">
        <v>27</v>
      </c>
      <c r="Q43" s="4" t="s">
        <v>68</v>
      </c>
      <c r="R43" s="4" t="s">
        <v>222</v>
      </c>
      <c r="S43" s="2" t="s">
        <v>30</v>
      </c>
    </row>
    <row r="44" customFormat="false" ht="15" hidden="false" customHeight="false" outlineLevel="0" collapsed="false">
      <c r="A44" s="2" t="s">
        <v>227</v>
      </c>
      <c r="B44" s="2" t="s">
        <v>218</v>
      </c>
      <c r="C44" s="2" t="s">
        <v>228</v>
      </c>
      <c r="D44" s="2" t="s">
        <v>218</v>
      </c>
      <c r="E44" s="2" t="s">
        <v>229</v>
      </c>
      <c r="F44" s="2" t="s">
        <v>230</v>
      </c>
      <c r="G44" s="3" t="n">
        <v>5</v>
      </c>
      <c r="H44" s="3" t="n">
        <v>0</v>
      </c>
      <c r="I44" s="3" t="n">
        <v>0</v>
      </c>
      <c r="J44" s="3" t="n">
        <v>0</v>
      </c>
      <c r="K44" s="3" t="n">
        <v>-5</v>
      </c>
      <c r="L44" s="2" t="n">
        <f aca="false">SUM(G44:K44)</f>
        <v>0</v>
      </c>
      <c r="M44" s="2" t="str">
        <f aca="false">IF(L44&gt;=35,"A",IF(L44&gt;=25,"B",IF(L44&gt;=15,"C",IF(L44&gt;=8,"D","F"))))</f>
        <v>F</v>
      </c>
      <c r="N44" s="4" t="s">
        <v>221</v>
      </c>
      <c r="O44" s="4" t="s">
        <v>67</v>
      </c>
      <c r="P44" s="4" t="s">
        <v>27</v>
      </c>
      <c r="Q44" s="4" t="s">
        <v>28</v>
      </c>
      <c r="R44" s="4" t="s">
        <v>222</v>
      </c>
      <c r="S44" s="2" t="s">
        <v>30</v>
      </c>
    </row>
    <row r="45" customFormat="false" ht="15" hidden="false" customHeight="false" outlineLevel="0" collapsed="false">
      <c r="A45" s="2" t="s">
        <v>231</v>
      </c>
      <c r="B45" s="2" t="s">
        <v>218</v>
      </c>
      <c r="C45" s="2" t="s">
        <v>232</v>
      </c>
      <c r="D45" s="2" t="s">
        <v>218</v>
      </c>
      <c r="E45" s="2" t="s">
        <v>233</v>
      </c>
      <c r="F45" s="2" t="s">
        <v>234</v>
      </c>
      <c r="G45" s="3" t="n">
        <v>5</v>
      </c>
      <c r="H45" s="3" t="n">
        <v>0</v>
      </c>
      <c r="I45" s="3" t="n">
        <v>0</v>
      </c>
      <c r="J45" s="3" t="n">
        <v>0</v>
      </c>
      <c r="K45" s="3" t="n">
        <v>-5</v>
      </c>
      <c r="L45" s="2" t="n">
        <f aca="false">SUM(G45:K45)</f>
        <v>0</v>
      </c>
      <c r="M45" s="2" t="str">
        <f aca="false">IF(L45&gt;=35,"A",IF(L45&gt;=25,"B",IF(L45&gt;=15,"C",IF(L45&gt;=8,"D","F"))))</f>
        <v>F</v>
      </c>
      <c r="N45" s="4" t="s">
        <v>221</v>
      </c>
      <c r="O45" s="4" t="s">
        <v>67</v>
      </c>
      <c r="P45" s="4" t="s">
        <v>27</v>
      </c>
      <c r="Q45" s="4" t="s">
        <v>28</v>
      </c>
      <c r="R45" s="4" t="s">
        <v>222</v>
      </c>
      <c r="S45" s="2" t="s">
        <v>30</v>
      </c>
    </row>
    <row r="46" customFormat="false" ht="15" hidden="false" customHeight="false" outlineLevel="0" collapsed="false">
      <c r="A46" s="2" t="s">
        <v>235</v>
      </c>
      <c r="B46" s="2" t="s">
        <v>218</v>
      </c>
      <c r="C46" s="2" t="s">
        <v>232</v>
      </c>
      <c r="D46" s="2" t="s">
        <v>218</v>
      </c>
      <c r="E46" s="2" t="s">
        <v>236</v>
      </c>
      <c r="F46" s="2" t="s">
        <v>234</v>
      </c>
      <c r="G46" s="3" t="n">
        <v>5</v>
      </c>
      <c r="H46" s="3" t="n">
        <v>0</v>
      </c>
      <c r="I46" s="3" t="n">
        <v>0</v>
      </c>
      <c r="J46" s="3" t="n">
        <v>0</v>
      </c>
      <c r="K46" s="3" t="n">
        <v>-5</v>
      </c>
      <c r="L46" s="2" t="n">
        <f aca="false">SUM(G46:K46)</f>
        <v>0</v>
      </c>
      <c r="M46" s="2" t="str">
        <f aca="false">IF(L46&gt;=35,"A",IF(L46&gt;=25,"B",IF(L46&gt;=15,"C",IF(L46&gt;=8,"D","F"))))</f>
        <v>F</v>
      </c>
      <c r="N46" s="4" t="s">
        <v>221</v>
      </c>
      <c r="O46" s="4" t="s">
        <v>67</v>
      </c>
      <c r="P46" s="4" t="s">
        <v>27</v>
      </c>
      <c r="Q46" s="4" t="s">
        <v>28</v>
      </c>
      <c r="R46" s="4" t="s">
        <v>222</v>
      </c>
      <c r="S46" s="2" t="s">
        <v>30</v>
      </c>
    </row>
    <row r="47" customFormat="false" ht="15" hidden="false" customHeight="false" outlineLevel="0" collapsed="false">
      <c r="A47" s="2" t="s">
        <v>237</v>
      </c>
      <c r="B47" s="2" t="s">
        <v>218</v>
      </c>
      <c r="C47" s="2" t="s">
        <v>232</v>
      </c>
      <c r="D47" s="2" t="s">
        <v>218</v>
      </c>
      <c r="E47" s="2" t="s">
        <v>238</v>
      </c>
      <c r="F47" s="2" t="s">
        <v>234</v>
      </c>
      <c r="G47" s="3" t="n">
        <v>5</v>
      </c>
      <c r="H47" s="3" t="n">
        <v>0</v>
      </c>
      <c r="I47" s="3" t="n">
        <v>0</v>
      </c>
      <c r="J47" s="3" t="n">
        <v>0</v>
      </c>
      <c r="K47" s="3" t="n">
        <v>-5</v>
      </c>
      <c r="L47" s="2" t="n">
        <f aca="false">SUM(G47:K47)</f>
        <v>0</v>
      </c>
      <c r="M47" s="2" t="str">
        <f aca="false">IF(L47&gt;=35,"A",IF(L47&gt;=25,"B",IF(L47&gt;=15,"C",IF(L47&gt;=8,"D","F"))))</f>
        <v>F</v>
      </c>
      <c r="N47" s="4" t="s">
        <v>221</v>
      </c>
      <c r="O47" s="4" t="s">
        <v>67</v>
      </c>
      <c r="P47" s="4" t="s">
        <v>27</v>
      </c>
      <c r="Q47" s="4" t="s">
        <v>28</v>
      </c>
      <c r="R47" s="4" t="s">
        <v>222</v>
      </c>
      <c r="S47" s="2" t="s">
        <v>30</v>
      </c>
    </row>
    <row r="48" customFormat="false" ht="15" hidden="false" customHeight="false" outlineLevel="0" collapsed="false">
      <c r="A48" s="2" t="s">
        <v>239</v>
      </c>
      <c r="B48" s="2" t="s">
        <v>218</v>
      </c>
      <c r="C48" s="2" t="s">
        <v>240</v>
      </c>
      <c r="D48" s="2" t="s">
        <v>218</v>
      </c>
      <c r="E48" s="2" t="s">
        <v>241</v>
      </c>
      <c r="F48" s="2" t="s">
        <v>234</v>
      </c>
      <c r="G48" s="3" t="n">
        <v>5</v>
      </c>
      <c r="H48" s="3" t="n">
        <v>0</v>
      </c>
      <c r="I48" s="3" t="n">
        <v>0</v>
      </c>
      <c r="J48" s="3" t="n">
        <v>0</v>
      </c>
      <c r="K48" s="3" t="n">
        <v>-5</v>
      </c>
      <c r="L48" s="2" t="n">
        <f aca="false">SUM(G48:K48)</f>
        <v>0</v>
      </c>
      <c r="M48" s="2" t="str">
        <f aca="false">IF(L48&gt;=35,"A",IF(L48&gt;=25,"B",IF(L48&gt;=15,"C",IF(L48&gt;=8,"D","F"))))</f>
        <v>F</v>
      </c>
      <c r="N48" s="4" t="s">
        <v>221</v>
      </c>
      <c r="O48" s="4" t="s">
        <v>67</v>
      </c>
      <c r="P48" s="4" t="s">
        <v>27</v>
      </c>
      <c r="Q48" s="4" t="s">
        <v>28</v>
      </c>
      <c r="R48" s="4" t="s">
        <v>222</v>
      </c>
      <c r="S48" s="2" t="s">
        <v>30</v>
      </c>
    </row>
    <row r="49" customFormat="false" ht="15" hidden="false" customHeight="false" outlineLevel="0" collapsed="false">
      <c r="A49" s="2" t="s">
        <v>242</v>
      </c>
      <c r="B49" s="2" t="s">
        <v>218</v>
      </c>
      <c r="C49" s="2" t="s">
        <v>232</v>
      </c>
      <c r="D49" s="2" t="s">
        <v>218</v>
      </c>
      <c r="E49" s="2" t="s">
        <v>243</v>
      </c>
      <c r="F49" s="2" t="s">
        <v>234</v>
      </c>
      <c r="G49" s="3" t="n">
        <v>5</v>
      </c>
      <c r="H49" s="3" t="n">
        <v>0</v>
      </c>
      <c r="I49" s="3" t="n">
        <v>0</v>
      </c>
      <c r="J49" s="3" t="n">
        <v>0</v>
      </c>
      <c r="K49" s="3" t="n">
        <v>-5</v>
      </c>
      <c r="L49" s="2" t="n">
        <f aca="false">SUM(G49:K49)</f>
        <v>0</v>
      </c>
      <c r="M49" s="2" t="str">
        <f aca="false">IF(L49&gt;=35,"A",IF(L49&gt;=25,"B",IF(L49&gt;=15,"C",IF(L49&gt;=8,"D","F"))))</f>
        <v>F</v>
      </c>
      <c r="N49" s="4" t="s">
        <v>221</v>
      </c>
      <c r="O49" s="4" t="s">
        <v>67</v>
      </c>
      <c r="P49" s="4" t="s">
        <v>27</v>
      </c>
      <c r="Q49" s="4" t="s">
        <v>28</v>
      </c>
      <c r="R49" s="4" t="s">
        <v>222</v>
      </c>
      <c r="S49" s="2" t="s">
        <v>30</v>
      </c>
    </row>
    <row r="50" customFormat="false" ht="15" hidden="false" customHeight="false" outlineLevel="0" collapsed="false">
      <c r="A50" s="2" t="s">
        <v>244</v>
      </c>
      <c r="B50" s="2" t="s">
        <v>218</v>
      </c>
      <c r="C50" s="2" t="s">
        <v>240</v>
      </c>
      <c r="D50" s="2" t="s">
        <v>218</v>
      </c>
      <c r="E50" s="2" t="s">
        <v>245</v>
      </c>
      <c r="F50" s="2" t="s">
        <v>234</v>
      </c>
      <c r="G50" s="3" t="n">
        <v>5</v>
      </c>
      <c r="H50" s="3" t="n">
        <v>0</v>
      </c>
      <c r="I50" s="3" t="n">
        <v>0</v>
      </c>
      <c r="J50" s="3" t="n">
        <v>0</v>
      </c>
      <c r="K50" s="3" t="n">
        <v>-5</v>
      </c>
      <c r="L50" s="2" t="n">
        <f aca="false">SUM(G50:K50)</f>
        <v>0</v>
      </c>
      <c r="M50" s="2" t="str">
        <f aca="false">IF(L50&gt;=35,"A",IF(L50&gt;=25,"B",IF(L50&gt;=15,"C",IF(L50&gt;=8,"D","F"))))</f>
        <v>F</v>
      </c>
      <c r="N50" s="4" t="s">
        <v>221</v>
      </c>
      <c r="O50" s="4" t="s">
        <v>67</v>
      </c>
      <c r="P50" s="4" t="s">
        <v>27</v>
      </c>
      <c r="Q50" s="4" t="s">
        <v>28</v>
      </c>
      <c r="R50" s="4" t="s">
        <v>222</v>
      </c>
      <c r="S50" s="2" t="s">
        <v>30</v>
      </c>
    </row>
    <row r="51" customFormat="false" ht="15" hidden="false" customHeight="false" outlineLevel="0" collapsed="false">
      <c r="A51" s="2" t="s">
        <v>246</v>
      </c>
      <c r="B51" s="2" t="s">
        <v>218</v>
      </c>
      <c r="C51" s="2" t="s">
        <v>232</v>
      </c>
      <c r="D51" s="2" t="s">
        <v>218</v>
      </c>
      <c r="E51" s="2" t="s">
        <v>247</v>
      </c>
      <c r="F51" s="2" t="s">
        <v>234</v>
      </c>
      <c r="G51" s="3" t="n">
        <v>5</v>
      </c>
      <c r="H51" s="3" t="n">
        <v>0</v>
      </c>
      <c r="I51" s="3" t="n">
        <v>0</v>
      </c>
      <c r="J51" s="3" t="n">
        <v>0</v>
      </c>
      <c r="K51" s="3" t="n">
        <v>-5</v>
      </c>
      <c r="L51" s="2" t="n">
        <f aca="false">SUM(G51:K51)</f>
        <v>0</v>
      </c>
      <c r="M51" s="2" t="str">
        <f aca="false">IF(L51&gt;=35,"A",IF(L51&gt;=25,"B",IF(L51&gt;=15,"C",IF(L51&gt;=8,"D","F"))))</f>
        <v>F</v>
      </c>
      <c r="N51" s="4" t="s">
        <v>221</v>
      </c>
      <c r="O51" s="4" t="s">
        <v>67</v>
      </c>
      <c r="P51" s="4" t="s">
        <v>27</v>
      </c>
      <c r="Q51" s="4" t="s">
        <v>28</v>
      </c>
      <c r="R51" s="4" t="s">
        <v>222</v>
      </c>
      <c r="S51" s="2" t="s">
        <v>30</v>
      </c>
    </row>
    <row r="52" customFormat="false" ht="15" hidden="false" customHeight="false" outlineLevel="0" collapsed="false">
      <c r="A52" s="2" t="s">
        <v>248</v>
      </c>
      <c r="B52" s="2" t="s">
        <v>218</v>
      </c>
      <c r="C52" s="2" t="s">
        <v>232</v>
      </c>
      <c r="D52" s="2" t="s">
        <v>218</v>
      </c>
      <c r="E52" s="2" t="s">
        <v>249</v>
      </c>
      <c r="F52" s="2" t="s">
        <v>234</v>
      </c>
      <c r="G52" s="3" t="n">
        <v>5</v>
      </c>
      <c r="H52" s="3" t="n">
        <v>0</v>
      </c>
      <c r="I52" s="3" t="n">
        <v>0</v>
      </c>
      <c r="J52" s="3" t="n">
        <v>0</v>
      </c>
      <c r="K52" s="3" t="n">
        <v>-5</v>
      </c>
      <c r="L52" s="2" t="n">
        <f aca="false">SUM(G52:K52)</f>
        <v>0</v>
      </c>
      <c r="M52" s="2" t="str">
        <f aca="false">IF(L52&gt;=35,"A",IF(L52&gt;=25,"B",IF(L52&gt;=15,"C",IF(L52&gt;=8,"D","F"))))</f>
        <v>F</v>
      </c>
      <c r="N52" s="4" t="s">
        <v>221</v>
      </c>
      <c r="O52" s="4" t="s">
        <v>67</v>
      </c>
      <c r="P52" s="4" t="s">
        <v>27</v>
      </c>
      <c r="Q52" s="4" t="s">
        <v>28</v>
      </c>
      <c r="R52" s="4" t="s">
        <v>222</v>
      </c>
      <c r="S52" s="2" t="s">
        <v>30</v>
      </c>
    </row>
    <row r="53" customFormat="false" ht="15" hidden="false" customHeight="false" outlineLevel="0" collapsed="false">
      <c r="A53" s="2" t="s">
        <v>250</v>
      </c>
      <c r="B53" s="2" t="s">
        <v>218</v>
      </c>
      <c r="C53" s="2" t="s">
        <v>232</v>
      </c>
      <c r="D53" s="2" t="s">
        <v>218</v>
      </c>
      <c r="E53" s="2" t="s">
        <v>251</v>
      </c>
      <c r="F53" s="2" t="s">
        <v>234</v>
      </c>
      <c r="G53" s="3" t="n">
        <v>5</v>
      </c>
      <c r="H53" s="3" t="n">
        <v>0</v>
      </c>
      <c r="I53" s="3" t="n">
        <v>0</v>
      </c>
      <c r="J53" s="3" t="n">
        <v>0</v>
      </c>
      <c r="K53" s="3" t="n">
        <v>-5</v>
      </c>
      <c r="L53" s="2" t="n">
        <f aca="false">SUM(G53:K53)</f>
        <v>0</v>
      </c>
      <c r="M53" s="2" t="str">
        <f aca="false">IF(L53&gt;=35,"A",IF(L53&gt;=25,"B",IF(L53&gt;=15,"C",IF(L53&gt;=8,"D","F"))))</f>
        <v>F</v>
      </c>
      <c r="N53" s="4" t="s">
        <v>221</v>
      </c>
      <c r="O53" s="4" t="s">
        <v>67</v>
      </c>
      <c r="P53" s="4" t="s">
        <v>27</v>
      </c>
      <c r="Q53" s="4" t="s">
        <v>28</v>
      </c>
      <c r="R53" s="4" t="s">
        <v>222</v>
      </c>
      <c r="S53" s="2" t="s">
        <v>30</v>
      </c>
    </row>
    <row r="54" customFormat="false" ht="15" hidden="false" customHeight="false" outlineLevel="0" collapsed="false">
      <c r="A54" s="2" t="s">
        <v>252</v>
      </c>
      <c r="B54" s="2" t="s">
        <v>218</v>
      </c>
      <c r="C54" s="2" t="s">
        <v>232</v>
      </c>
      <c r="D54" s="2" t="s">
        <v>218</v>
      </c>
      <c r="E54" s="2" t="s">
        <v>253</v>
      </c>
      <c r="F54" s="2" t="s">
        <v>234</v>
      </c>
      <c r="G54" s="3" t="n">
        <v>5</v>
      </c>
      <c r="H54" s="3" t="n">
        <v>0</v>
      </c>
      <c r="I54" s="3" t="n">
        <v>0</v>
      </c>
      <c r="J54" s="3" t="n">
        <v>0</v>
      </c>
      <c r="K54" s="3" t="n">
        <v>-5</v>
      </c>
      <c r="L54" s="2" t="n">
        <f aca="false">SUM(G54:K54)</f>
        <v>0</v>
      </c>
      <c r="M54" s="2" t="str">
        <f aca="false">IF(L54&gt;=35,"A",IF(L54&gt;=25,"B",IF(L54&gt;=15,"C",IF(L54&gt;=8,"D","F"))))</f>
        <v>F</v>
      </c>
      <c r="N54" s="4" t="s">
        <v>221</v>
      </c>
      <c r="O54" s="4" t="s">
        <v>67</v>
      </c>
      <c r="P54" s="4" t="s">
        <v>27</v>
      </c>
      <c r="Q54" s="4" t="s">
        <v>28</v>
      </c>
      <c r="R54" s="4" t="s">
        <v>222</v>
      </c>
      <c r="S54" s="2" t="s">
        <v>30</v>
      </c>
    </row>
    <row r="55" customFormat="false" ht="15" hidden="false" customHeight="false" outlineLevel="0" collapsed="false">
      <c r="A55" s="2" t="s">
        <v>254</v>
      </c>
      <c r="B55" s="2" t="s">
        <v>218</v>
      </c>
      <c r="C55" s="2" t="s">
        <v>232</v>
      </c>
      <c r="D55" s="2" t="s">
        <v>218</v>
      </c>
      <c r="E55" s="2" t="s">
        <v>255</v>
      </c>
      <c r="F55" s="2" t="s">
        <v>234</v>
      </c>
      <c r="G55" s="3" t="n">
        <v>5</v>
      </c>
      <c r="H55" s="3" t="n">
        <v>0</v>
      </c>
      <c r="I55" s="3" t="n">
        <v>0</v>
      </c>
      <c r="J55" s="3" t="n">
        <v>0</v>
      </c>
      <c r="K55" s="3" t="n">
        <v>-5</v>
      </c>
      <c r="L55" s="2" t="n">
        <f aca="false">SUM(G55:K55)</f>
        <v>0</v>
      </c>
      <c r="M55" s="2" t="str">
        <f aca="false">IF(L55&gt;=35,"A",IF(L55&gt;=25,"B",IF(L55&gt;=15,"C",IF(L55&gt;=8,"D","F"))))</f>
        <v>F</v>
      </c>
      <c r="N55" s="4" t="s">
        <v>221</v>
      </c>
      <c r="O55" s="4" t="s">
        <v>67</v>
      </c>
      <c r="P55" s="4" t="s">
        <v>27</v>
      </c>
      <c r="Q55" s="4" t="s">
        <v>28</v>
      </c>
      <c r="R55" s="4" t="s">
        <v>222</v>
      </c>
      <c r="S55" s="2" t="s">
        <v>30</v>
      </c>
    </row>
    <row r="56" customFormat="false" ht="15" hidden="false" customHeight="false" outlineLevel="0" collapsed="false">
      <c r="A56" s="2" t="s">
        <v>256</v>
      </c>
      <c r="B56" s="2" t="s">
        <v>218</v>
      </c>
      <c r="C56" s="2" t="s">
        <v>240</v>
      </c>
      <c r="D56" s="2" t="s">
        <v>218</v>
      </c>
      <c r="E56" s="2" t="s">
        <v>257</v>
      </c>
      <c r="F56" s="2" t="s">
        <v>234</v>
      </c>
      <c r="G56" s="3" t="n">
        <v>5</v>
      </c>
      <c r="H56" s="3" t="n">
        <v>0</v>
      </c>
      <c r="I56" s="3" t="n">
        <v>0</v>
      </c>
      <c r="J56" s="3" t="n">
        <v>0</v>
      </c>
      <c r="K56" s="3" t="n">
        <v>-5</v>
      </c>
      <c r="L56" s="2" t="n">
        <f aca="false">SUM(G56:K56)</f>
        <v>0</v>
      </c>
      <c r="M56" s="2" t="str">
        <f aca="false">IF(L56&gt;=35,"A",IF(L56&gt;=25,"B",IF(L56&gt;=15,"C",IF(L56&gt;=8,"D","F"))))</f>
        <v>F</v>
      </c>
      <c r="N56" s="4" t="s">
        <v>221</v>
      </c>
      <c r="O56" s="4" t="s">
        <v>67</v>
      </c>
      <c r="P56" s="4" t="s">
        <v>27</v>
      </c>
      <c r="Q56" s="4" t="s">
        <v>28</v>
      </c>
      <c r="R56" s="4" t="s">
        <v>222</v>
      </c>
      <c r="S56" s="2" t="s">
        <v>30</v>
      </c>
    </row>
    <row r="57" customFormat="false" ht="15" hidden="false" customHeight="false" outlineLevel="0" collapsed="false">
      <c r="A57" s="2" t="s">
        <v>258</v>
      </c>
      <c r="B57" s="2" t="s">
        <v>218</v>
      </c>
      <c r="C57" s="2" t="s">
        <v>232</v>
      </c>
      <c r="D57" s="2" t="s">
        <v>218</v>
      </c>
      <c r="E57" s="2" t="s">
        <v>259</v>
      </c>
      <c r="F57" s="2" t="s">
        <v>234</v>
      </c>
      <c r="G57" s="3" t="n">
        <v>5</v>
      </c>
      <c r="H57" s="3" t="n">
        <v>0</v>
      </c>
      <c r="I57" s="3" t="n">
        <v>0</v>
      </c>
      <c r="J57" s="3" t="n">
        <v>0</v>
      </c>
      <c r="K57" s="3" t="n">
        <v>-5</v>
      </c>
      <c r="L57" s="2" t="n">
        <f aca="false">SUM(G57:K57)</f>
        <v>0</v>
      </c>
      <c r="M57" s="2" t="str">
        <f aca="false">IF(L57&gt;=35,"A",IF(L57&gt;=25,"B",IF(L57&gt;=15,"C",IF(L57&gt;=8,"D","F"))))</f>
        <v>F</v>
      </c>
      <c r="N57" s="4" t="s">
        <v>221</v>
      </c>
      <c r="O57" s="4" t="s">
        <v>67</v>
      </c>
      <c r="P57" s="4" t="s">
        <v>27</v>
      </c>
      <c r="Q57" s="4" t="s">
        <v>28</v>
      </c>
      <c r="R57" s="4" t="s">
        <v>222</v>
      </c>
      <c r="S57" s="2" t="s">
        <v>30</v>
      </c>
    </row>
    <row r="58" customFormat="false" ht="15" hidden="false" customHeight="false" outlineLevel="0" collapsed="false">
      <c r="A58" s="2" t="s">
        <v>260</v>
      </c>
      <c r="B58" s="2" t="s">
        <v>218</v>
      </c>
      <c r="C58" s="2" t="s">
        <v>240</v>
      </c>
      <c r="D58" s="2" t="s">
        <v>218</v>
      </c>
      <c r="E58" s="2" t="s">
        <v>261</v>
      </c>
      <c r="F58" s="2" t="s">
        <v>234</v>
      </c>
      <c r="G58" s="3" t="n">
        <v>5</v>
      </c>
      <c r="H58" s="3" t="n">
        <v>0</v>
      </c>
      <c r="I58" s="3" t="n">
        <v>0</v>
      </c>
      <c r="J58" s="3" t="n">
        <v>0</v>
      </c>
      <c r="K58" s="3" t="n">
        <v>-5</v>
      </c>
      <c r="L58" s="2" t="n">
        <f aca="false">SUM(G58:K58)</f>
        <v>0</v>
      </c>
      <c r="M58" s="2" t="str">
        <f aca="false">IF(L58&gt;=35,"A",IF(L58&gt;=25,"B",IF(L58&gt;=15,"C",IF(L58&gt;=8,"D","F"))))</f>
        <v>F</v>
      </c>
      <c r="N58" s="4" t="s">
        <v>221</v>
      </c>
      <c r="O58" s="4" t="s">
        <v>67</v>
      </c>
      <c r="P58" s="4" t="s">
        <v>27</v>
      </c>
      <c r="Q58" s="4" t="s">
        <v>28</v>
      </c>
      <c r="R58" s="4" t="s">
        <v>222</v>
      </c>
      <c r="S58" s="2" t="s">
        <v>30</v>
      </c>
    </row>
    <row r="59" customFormat="false" ht="15" hidden="false" customHeight="false" outlineLevel="0" collapsed="false">
      <c r="A59" s="2" t="s">
        <v>262</v>
      </c>
      <c r="B59" s="2" t="s">
        <v>218</v>
      </c>
      <c r="C59" s="2" t="s">
        <v>263</v>
      </c>
      <c r="D59" s="2" t="s">
        <v>264</v>
      </c>
      <c r="E59" s="2" t="s">
        <v>265</v>
      </c>
      <c r="F59" s="2" t="s">
        <v>266</v>
      </c>
      <c r="G59" s="3" t="n">
        <v>5</v>
      </c>
      <c r="H59" s="3" t="n">
        <v>6</v>
      </c>
      <c r="I59" s="3" t="n">
        <v>0</v>
      </c>
      <c r="J59" s="3" t="n">
        <v>0</v>
      </c>
      <c r="K59" s="3" t="n">
        <v>-15</v>
      </c>
      <c r="L59" s="2" t="n">
        <f aca="false">SUM(G59:K59)</f>
        <v>-4</v>
      </c>
      <c r="M59" s="2" t="str">
        <f aca="false">IF(L59&gt;=35,"A",IF(L59&gt;=25,"B",IF(L59&gt;=15,"C",IF(L59&gt;=8,"D","F"))))</f>
        <v>F</v>
      </c>
      <c r="N59" s="4" t="s">
        <v>221</v>
      </c>
      <c r="O59" s="4" t="s">
        <v>85</v>
      </c>
      <c r="P59" s="4" t="s">
        <v>267</v>
      </c>
      <c r="Q59" s="4" t="s">
        <v>28</v>
      </c>
      <c r="R59" s="4" t="s">
        <v>268</v>
      </c>
      <c r="S59" s="2" t="s">
        <v>30</v>
      </c>
    </row>
    <row r="60" customFormat="false" ht="15" hidden="false" customHeight="false" outlineLevel="0" collapsed="false">
      <c r="A60" s="2" t="s">
        <v>269</v>
      </c>
      <c r="B60" s="2" t="s">
        <v>218</v>
      </c>
      <c r="C60" s="2" t="s">
        <v>270</v>
      </c>
      <c r="D60" s="2" t="s">
        <v>218</v>
      </c>
      <c r="E60" s="2" t="s">
        <v>271</v>
      </c>
      <c r="F60" s="2" t="s">
        <v>272</v>
      </c>
      <c r="G60" s="3" t="n">
        <v>5</v>
      </c>
      <c r="H60" s="3" t="n">
        <v>0</v>
      </c>
      <c r="I60" s="3" t="n">
        <v>0</v>
      </c>
      <c r="J60" s="3" t="n">
        <v>0</v>
      </c>
      <c r="K60" s="3" t="n">
        <v>-5</v>
      </c>
      <c r="L60" s="2" t="n">
        <f aca="false">SUM(G60:K60)</f>
        <v>0</v>
      </c>
      <c r="M60" s="2" t="str">
        <f aca="false">IF(L60&gt;=35,"A",IF(L60&gt;=25,"B",IF(L60&gt;=15,"C",IF(L60&gt;=8,"D","F"))))</f>
        <v>F</v>
      </c>
      <c r="N60" s="4" t="s">
        <v>221</v>
      </c>
      <c r="O60" s="4" t="s">
        <v>67</v>
      </c>
      <c r="P60" s="4" t="s">
        <v>27</v>
      </c>
      <c r="Q60" s="4" t="s">
        <v>28</v>
      </c>
      <c r="R60" s="4" t="s">
        <v>222</v>
      </c>
      <c r="S60" s="2" t="s">
        <v>30</v>
      </c>
    </row>
    <row r="61" customFormat="false" ht="15" hidden="false" customHeight="false" outlineLevel="0" collapsed="false">
      <c r="A61" s="2" t="s">
        <v>273</v>
      </c>
      <c r="B61" s="2" t="s">
        <v>218</v>
      </c>
      <c r="C61" s="2" t="s">
        <v>274</v>
      </c>
      <c r="D61" s="2" t="s">
        <v>218</v>
      </c>
      <c r="E61" s="2" t="s">
        <v>275</v>
      </c>
      <c r="F61" s="2" t="s">
        <v>276</v>
      </c>
      <c r="G61" s="3" t="n">
        <v>5</v>
      </c>
      <c r="H61" s="3" t="n">
        <v>0</v>
      </c>
      <c r="I61" s="3" t="n">
        <v>0</v>
      </c>
      <c r="J61" s="3" t="n">
        <v>8</v>
      </c>
      <c r="K61" s="3" t="n">
        <v>-5</v>
      </c>
      <c r="L61" s="2" t="n">
        <f aca="false">SUM(G61:K61)</f>
        <v>8</v>
      </c>
      <c r="M61" s="2" t="str">
        <f aca="false">IF(L61&gt;=35,"A",IF(L61&gt;=25,"B",IF(L61&gt;=15,"C",IF(L61&gt;=8,"D","F"))))</f>
        <v>D</v>
      </c>
      <c r="N61" s="4" t="s">
        <v>221</v>
      </c>
      <c r="O61" s="4" t="s">
        <v>67</v>
      </c>
      <c r="P61" s="4" t="s">
        <v>27</v>
      </c>
      <c r="Q61" s="4" t="s">
        <v>68</v>
      </c>
      <c r="R61" s="4" t="s">
        <v>222</v>
      </c>
      <c r="S61" s="2" t="s">
        <v>30</v>
      </c>
    </row>
    <row r="62" customFormat="false" ht="15" hidden="false" customHeight="false" outlineLevel="0" collapsed="false">
      <c r="A62" s="2" t="s">
        <v>277</v>
      </c>
      <c r="B62" s="2" t="s">
        <v>218</v>
      </c>
      <c r="C62" s="2" t="s">
        <v>274</v>
      </c>
      <c r="D62" s="2" t="s">
        <v>218</v>
      </c>
      <c r="E62" s="2" t="s">
        <v>278</v>
      </c>
      <c r="F62" s="2" t="s">
        <v>276</v>
      </c>
      <c r="G62" s="3" t="n">
        <v>5</v>
      </c>
      <c r="H62" s="3" t="n">
        <v>0</v>
      </c>
      <c r="I62" s="3" t="n">
        <v>0</v>
      </c>
      <c r="J62" s="3" t="n">
        <v>8</v>
      </c>
      <c r="K62" s="3" t="n">
        <v>-5</v>
      </c>
      <c r="L62" s="2" t="n">
        <f aca="false">SUM(G62:K62)</f>
        <v>8</v>
      </c>
      <c r="M62" s="2" t="str">
        <f aca="false">IF(L62&gt;=35,"A",IF(L62&gt;=25,"B",IF(L62&gt;=15,"C",IF(L62&gt;=8,"D","F"))))</f>
        <v>D</v>
      </c>
      <c r="N62" s="4" t="s">
        <v>221</v>
      </c>
      <c r="O62" s="4" t="s">
        <v>67</v>
      </c>
      <c r="P62" s="4" t="s">
        <v>27</v>
      </c>
      <c r="Q62" s="4" t="s">
        <v>68</v>
      </c>
      <c r="R62" s="4" t="s">
        <v>222</v>
      </c>
      <c r="S62" s="2" t="s">
        <v>30</v>
      </c>
    </row>
    <row r="63" customFormat="false" ht="15" hidden="false" customHeight="false" outlineLevel="0" collapsed="false">
      <c r="A63" s="2" t="s">
        <v>279</v>
      </c>
      <c r="B63" s="2" t="s">
        <v>218</v>
      </c>
      <c r="C63" s="2" t="s">
        <v>274</v>
      </c>
      <c r="D63" s="2" t="s">
        <v>218</v>
      </c>
      <c r="E63" s="2" t="s">
        <v>280</v>
      </c>
      <c r="F63" s="2" t="s">
        <v>276</v>
      </c>
      <c r="G63" s="3" t="n">
        <v>5</v>
      </c>
      <c r="H63" s="3" t="n">
        <v>0</v>
      </c>
      <c r="I63" s="3" t="n">
        <v>0</v>
      </c>
      <c r="J63" s="3" t="n">
        <v>8</v>
      </c>
      <c r="K63" s="3" t="n">
        <v>-5</v>
      </c>
      <c r="L63" s="2" t="n">
        <f aca="false">SUM(G63:K63)</f>
        <v>8</v>
      </c>
      <c r="M63" s="2" t="str">
        <f aca="false">IF(L63&gt;=35,"A",IF(L63&gt;=25,"B",IF(L63&gt;=15,"C",IF(L63&gt;=8,"D","F"))))</f>
        <v>D</v>
      </c>
      <c r="N63" s="4" t="s">
        <v>221</v>
      </c>
      <c r="O63" s="4" t="s">
        <v>67</v>
      </c>
      <c r="P63" s="4" t="s">
        <v>27</v>
      </c>
      <c r="Q63" s="4" t="s">
        <v>68</v>
      </c>
      <c r="R63" s="4" t="s">
        <v>222</v>
      </c>
      <c r="S63" s="2" t="s">
        <v>30</v>
      </c>
    </row>
    <row r="64" customFormat="false" ht="15" hidden="false" customHeight="false" outlineLevel="0" collapsed="false">
      <c r="A64" s="2" t="s">
        <v>281</v>
      </c>
      <c r="B64" s="2" t="s">
        <v>218</v>
      </c>
      <c r="C64" s="2" t="s">
        <v>219</v>
      </c>
      <c r="D64" s="2" t="s">
        <v>218</v>
      </c>
      <c r="E64" s="2" t="s">
        <v>282</v>
      </c>
      <c r="F64" s="2" t="s">
        <v>79</v>
      </c>
      <c r="G64" s="3" t="n">
        <v>5</v>
      </c>
      <c r="H64" s="3" t="n">
        <v>0</v>
      </c>
      <c r="I64" s="3" t="n">
        <v>0</v>
      </c>
      <c r="J64" s="3" t="n">
        <v>0</v>
      </c>
      <c r="K64" s="3" t="n">
        <v>-5</v>
      </c>
      <c r="L64" s="2" t="n">
        <f aca="false">SUM(G64:K64)</f>
        <v>0</v>
      </c>
      <c r="M64" s="2" t="str">
        <f aca="false">IF(L64&gt;=35,"A",IF(L64&gt;=25,"B",IF(L64&gt;=15,"C",IF(L64&gt;=8,"D","F"))))</f>
        <v>F</v>
      </c>
      <c r="N64" s="4" t="s">
        <v>221</v>
      </c>
      <c r="O64" s="4" t="s">
        <v>67</v>
      </c>
      <c r="P64" s="4" t="s">
        <v>27</v>
      </c>
      <c r="Q64" s="4" t="s">
        <v>28</v>
      </c>
      <c r="R64" s="4" t="s">
        <v>222</v>
      </c>
      <c r="S64" s="2" t="s">
        <v>30</v>
      </c>
    </row>
    <row r="65" customFormat="false" ht="15" hidden="false" customHeight="false" outlineLevel="0" collapsed="false">
      <c r="A65" s="2" t="s">
        <v>283</v>
      </c>
      <c r="B65" s="2" t="s">
        <v>218</v>
      </c>
      <c r="C65" s="2" t="s">
        <v>284</v>
      </c>
      <c r="D65" s="2" t="s">
        <v>285</v>
      </c>
      <c r="E65" s="2" t="s">
        <v>286</v>
      </c>
      <c r="F65" s="2" t="s">
        <v>266</v>
      </c>
      <c r="G65" s="3" t="n">
        <v>5</v>
      </c>
      <c r="H65" s="3" t="n">
        <v>6</v>
      </c>
      <c r="I65" s="3" t="n">
        <v>0</v>
      </c>
      <c r="J65" s="3" t="n">
        <v>8</v>
      </c>
      <c r="K65" s="3" t="n">
        <v>-5</v>
      </c>
      <c r="L65" s="2" t="n">
        <f aca="false">SUM(G65:K65)</f>
        <v>14</v>
      </c>
      <c r="M65" s="2" t="str">
        <f aca="false">IF(L65&gt;=35,"A",IF(L65&gt;=25,"B",IF(L65&gt;=15,"C",IF(L65&gt;=8,"D","F"))))</f>
        <v>D</v>
      </c>
      <c r="N65" s="4" t="s">
        <v>221</v>
      </c>
      <c r="O65" s="4" t="s">
        <v>85</v>
      </c>
      <c r="P65" s="4" t="s">
        <v>267</v>
      </c>
      <c r="Q65" s="4" t="s">
        <v>68</v>
      </c>
      <c r="R65" s="4" t="s">
        <v>222</v>
      </c>
      <c r="S65" s="2" t="s">
        <v>30</v>
      </c>
    </row>
    <row r="66" customFormat="false" ht="15" hidden="false" customHeight="false" outlineLevel="0" collapsed="false">
      <c r="A66" s="2" t="s">
        <v>287</v>
      </c>
      <c r="B66" s="2" t="s">
        <v>218</v>
      </c>
      <c r="C66" s="2" t="s">
        <v>219</v>
      </c>
      <c r="D66" s="2" t="s">
        <v>218</v>
      </c>
      <c r="E66" s="2" t="s">
        <v>288</v>
      </c>
      <c r="F66" s="2" t="s">
        <v>79</v>
      </c>
      <c r="G66" s="3" t="n">
        <v>5</v>
      </c>
      <c r="H66" s="3" t="n">
        <v>0</v>
      </c>
      <c r="I66" s="3" t="n">
        <v>0</v>
      </c>
      <c r="J66" s="3" t="n">
        <v>0</v>
      </c>
      <c r="K66" s="3" t="n">
        <v>-5</v>
      </c>
      <c r="L66" s="2" t="n">
        <f aca="false">SUM(G66:K66)</f>
        <v>0</v>
      </c>
      <c r="M66" s="2" t="str">
        <f aca="false">IF(L66&gt;=35,"A",IF(L66&gt;=25,"B",IF(L66&gt;=15,"C",IF(L66&gt;=8,"D","F"))))</f>
        <v>F</v>
      </c>
      <c r="N66" s="4" t="s">
        <v>221</v>
      </c>
      <c r="O66" s="4" t="s">
        <v>67</v>
      </c>
      <c r="P66" s="4" t="s">
        <v>27</v>
      </c>
      <c r="Q66" s="4" t="s">
        <v>28</v>
      </c>
      <c r="R66" s="4" t="s">
        <v>222</v>
      </c>
      <c r="S66" s="2" t="s">
        <v>30</v>
      </c>
    </row>
    <row r="67" customFormat="false" ht="15" hidden="false" customHeight="false" outlineLevel="0" collapsed="false">
      <c r="A67" s="2" t="s">
        <v>289</v>
      </c>
      <c r="B67" s="2" t="s">
        <v>218</v>
      </c>
      <c r="C67" s="2" t="s">
        <v>290</v>
      </c>
      <c r="D67" s="2" t="s">
        <v>82</v>
      </c>
      <c r="E67" s="2" t="s">
        <v>175</v>
      </c>
      <c r="F67" s="2" t="s">
        <v>176</v>
      </c>
      <c r="G67" s="3" t="n">
        <v>5</v>
      </c>
      <c r="H67" s="3" t="n">
        <v>0</v>
      </c>
      <c r="I67" s="3" t="n">
        <v>0</v>
      </c>
      <c r="J67" s="3" t="n">
        <v>0</v>
      </c>
      <c r="K67" s="3" t="n">
        <v>0</v>
      </c>
      <c r="L67" s="2" t="n">
        <f aca="false">SUM(G67:K67)</f>
        <v>5</v>
      </c>
      <c r="M67" s="2" t="str">
        <f aca="false">IF(L67&gt;=35,"A",IF(L67&gt;=25,"B",IF(L67&gt;=15,"C",IF(L67&gt;=8,"D","F"))))</f>
        <v>F</v>
      </c>
      <c r="N67" s="4" t="s">
        <v>221</v>
      </c>
      <c r="O67" s="4" t="s">
        <v>67</v>
      </c>
      <c r="P67" s="4" t="s">
        <v>27</v>
      </c>
      <c r="Q67" s="4" t="s">
        <v>28</v>
      </c>
      <c r="R67" s="4" t="s">
        <v>29</v>
      </c>
      <c r="S67" s="2" t="s">
        <v>30</v>
      </c>
    </row>
    <row r="68" customFormat="false" ht="15" hidden="false" customHeight="false" outlineLevel="0" collapsed="false">
      <c r="A68" s="2" t="s">
        <v>291</v>
      </c>
      <c r="B68" s="2" t="s">
        <v>218</v>
      </c>
      <c r="C68" s="2" t="s">
        <v>274</v>
      </c>
      <c r="D68" s="2" t="s">
        <v>218</v>
      </c>
      <c r="E68" s="2" t="s">
        <v>292</v>
      </c>
      <c r="F68" s="2" t="s">
        <v>276</v>
      </c>
      <c r="G68" s="3" t="n">
        <v>5</v>
      </c>
      <c r="H68" s="3" t="n">
        <v>0</v>
      </c>
      <c r="I68" s="3" t="n">
        <v>0</v>
      </c>
      <c r="J68" s="3" t="n">
        <v>8</v>
      </c>
      <c r="K68" s="3" t="n">
        <v>-5</v>
      </c>
      <c r="L68" s="2" t="n">
        <f aca="false">SUM(G68:K68)</f>
        <v>8</v>
      </c>
      <c r="M68" s="2" t="str">
        <f aca="false">IF(L68&gt;=35,"A",IF(L68&gt;=25,"B",IF(L68&gt;=15,"C",IF(L68&gt;=8,"D","F"))))</f>
        <v>D</v>
      </c>
      <c r="N68" s="4" t="s">
        <v>221</v>
      </c>
      <c r="O68" s="4" t="s">
        <v>67</v>
      </c>
      <c r="P68" s="4" t="s">
        <v>27</v>
      </c>
      <c r="Q68" s="4" t="s">
        <v>68</v>
      </c>
      <c r="R68" s="4" t="s">
        <v>222</v>
      </c>
      <c r="S68" s="2" t="s">
        <v>30</v>
      </c>
    </row>
    <row r="69" customFormat="false" ht="15" hidden="false" customHeight="false" outlineLevel="0" collapsed="false">
      <c r="A69" s="2" t="s">
        <v>293</v>
      </c>
      <c r="B69" s="2" t="s">
        <v>218</v>
      </c>
      <c r="C69" s="2" t="s">
        <v>294</v>
      </c>
      <c r="D69" s="2" t="s">
        <v>218</v>
      </c>
      <c r="E69" s="2" t="s">
        <v>295</v>
      </c>
      <c r="F69" s="2" t="s">
        <v>226</v>
      </c>
      <c r="G69" s="3" t="n">
        <v>5</v>
      </c>
      <c r="H69" s="3" t="n">
        <v>0</v>
      </c>
      <c r="I69" s="3" t="n">
        <v>0</v>
      </c>
      <c r="J69" s="3" t="n">
        <v>8</v>
      </c>
      <c r="K69" s="3" t="n">
        <v>-5</v>
      </c>
      <c r="L69" s="2" t="n">
        <f aca="false">SUM(G69:K69)</f>
        <v>8</v>
      </c>
      <c r="M69" s="2" t="str">
        <f aca="false">IF(L69&gt;=35,"A",IF(L69&gt;=25,"B",IF(L69&gt;=15,"C",IF(L69&gt;=8,"D","F"))))</f>
        <v>D</v>
      </c>
      <c r="N69" s="4" t="s">
        <v>221</v>
      </c>
      <c r="O69" s="4" t="s">
        <v>67</v>
      </c>
      <c r="P69" s="4" t="s">
        <v>27</v>
      </c>
      <c r="Q69" s="4" t="s">
        <v>68</v>
      </c>
      <c r="R69" s="4" t="s">
        <v>222</v>
      </c>
      <c r="S69" s="2" t="s">
        <v>30</v>
      </c>
    </row>
    <row r="70" customFormat="false" ht="15" hidden="false" customHeight="false" outlineLevel="0" collapsed="false">
      <c r="A70" s="2" t="s">
        <v>296</v>
      </c>
      <c r="B70" s="2" t="s">
        <v>218</v>
      </c>
      <c r="C70" s="2" t="s">
        <v>228</v>
      </c>
      <c r="D70" s="2" t="s">
        <v>218</v>
      </c>
      <c r="E70" s="2" t="s">
        <v>297</v>
      </c>
      <c r="F70" s="2" t="s">
        <v>230</v>
      </c>
      <c r="G70" s="3" t="n">
        <v>5</v>
      </c>
      <c r="H70" s="3" t="n">
        <v>0</v>
      </c>
      <c r="I70" s="3" t="n">
        <v>0</v>
      </c>
      <c r="J70" s="3" t="n">
        <v>0</v>
      </c>
      <c r="K70" s="3" t="n">
        <v>-5</v>
      </c>
      <c r="L70" s="2" t="n">
        <f aca="false">SUM(G70:K70)</f>
        <v>0</v>
      </c>
      <c r="M70" s="2" t="str">
        <f aca="false">IF(L70&gt;=35,"A",IF(L70&gt;=25,"B",IF(L70&gt;=15,"C",IF(L70&gt;=8,"D","F"))))</f>
        <v>F</v>
      </c>
      <c r="N70" s="4" t="s">
        <v>221</v>
      </c>
      <c r="O70" s="4" t="s">
        <v>67</v>
      </c>
      <c r="P70" s="4" t="s">
        <v>27</v>
      </c>
      <c r="Q70" s="4" t="s">
        <v>28</v>
      </c>
      <c r="R70" s="4" t="s">
        <v>222</v>
      </c>
      <c r="S70" s="2" t="s">
        <v>30</v>
      </c>
    </row>
    <row r="71" customFormat="false" ht="15" hidden="false" customHeight="false" outlineLevel="0" collapsed="false">
      <c r="A71" s="2" t="s">
        <v>298</v>
      </c>
      <c r="B71" s="2" t="s">
        <v>218</v>
      </c>
      <c r="C71" s="2" t="s">
        <v>224</v>
      </c>
      <c r="D71" s="2" t="s">
        <v>218</v>
      </c>
      <c r="E71" s="2" t="s">
        <v>299</v>
      </c>
      <c r="F71" s="2" t="s">
        <v>226</v>
      </c>
      <c r="G71" s="3" t="n">
        <v>5</v>
      </c>
      <c r="H71" s="3" t="n">
        <v>0</v>
      </c>
      <c r="I71" s="3" t="n">
        <v>0</v>
      </c>
      <c r="J71" s="3" t="n">
        <v>8</v>
      </c>
      <c r="K71" s="3" t="n">
        <v>-5</v>
      </c>
      <c r="L71" s="2" t="n">
        <f aca="false">SUM(G71:K71)</f>
        <v>8</v>
      </c>
      <c r="M71" s="2" t="str">
        <f aca="false">IF(L71&gt;=35,"A",IF(L71&gt;=25,"B",IF(L71&gt;=15,"C",IF(L71&gt;=8,"D","F"))))</f>
        <v>D</v>
      </c>
      <c r="N71" s="4" t="s">
        <v>221</v>
      </c>
      <c r="O71" s="4" t="s">
        <v>67</v>
      </c>
      <c r="P71" s="4" t="s">
        <v>27</v>
      </c>
      <c r="Q71" s="4" t="s">
        <v>68</v>
      </c>
      <c r="R71" s="4" t="s">
        <v>222</v>
      </c>
      <c r="S71" s="2" t="s">
        <v>30</v>
      </c>
    </row>
    <row r="72" customFormat="false" ht="15" hidden="false" customHeight="false" outlineLevel="0" collapsed="false">
      <c r="A72" s="2" t="s">
        <v>300</v>
      </c>
      <c r="B72" s="2" t="s">
        <v>218</v>
      </c>
      <c r="C72" s="2" t="s">
        <v>228</v>
      </c>
      <c r="D72" s="2" t="s">
        <v>218</v>
      </c>
      <c r="E72" s="2" t="s">
        <v>301</v>
      </c>
      <c r="F72" s="2" t="s">
        <v>230</v>
      </c>
      <c r="G72" s="3" t="n">
        <v>5</v>
      </c>
      <c r="H72" s="3" t="n">
        <v>0</v>
      </c>
      <c r="I72" s="3" t="n">
        <v>0</v>
      </c>
      <c r="J72" s="3" t="n">
        <v>0</v>
      </c>
      <c r="K72" s="3" t="n">
        <v>-5</v>
      </c>
      <c r="L72" s="2" t="n">
        <f aca="false">SUM(G72:K72)</f>
        <v>0</v>
      </c>
      <c r="M72" s="2" t="str">
        <f aca="false">IF(L72&gt;=35,"A",IF(L72&gt;=25,"B",IF(L72&gt;=15,"C",IF(L72&gt;=8,"D","F"))))</f>
        <v>F</v>
      </c>
      <c r="N72" s="4" t="s">
        <v>221</v>
      </c>
      <c r="O72" s="4" t="s">
        <v>67</v>
      </c>
      <c r="P72" s="4" t="s">
        <v>27</v>
      </c>
      <c r="Q72" s="4" t="s">
        <v>28</v>
      </c>
      <c r="R72" s="4" t="s">
        <v>222</v>
      </c>
      <c r="S72" s="2" t="s">
        <v>30</v>
      </c>
    </row>
    <row r="73" customFormat="false" ht="15" hidden="false" customHeight="false" outlineLevel="0" collapsed="false">
      <c r="A73" s="2" t="s">
        <v>302</v>
      </c>
      <c r="B73" s="2" t="s">
        <v>218</v>
      </c>
      <c r="C73" s="2" t="s">
        <v>270</v>
      </c>
      <c r="D73" s="2" t="s">
        <v>218</v>
      </c>
      <c r="E73" s="2" t="s">
        <v>303</v>
      </c>
      <c r="F73" s="2" t="s">
        <v>272</v>
      </c>
      <c r="G73" s="3" t="n">
        <v>5</v>
      </c>
      <c r="H73" s="3" t="n">
        <v>0</v>
      </c>
      <c r="I73" s="3" t="n">
        <v>0</v>
      </c>
      <c r="J73" s="3" t="n">
        <v>0</v>
      </c>
      <c r="K73" s="3" t="n">
        <v>-5</v>
      </c>
      <c r="L73" s="2" t="n">
        <f aca="false">SUM(G73:K73)</f>
        <v>0</v>
      </c>
      <c r="M73" s="2" t="str">
        <f aca="false">IF(L73&gt;=35,"A",IF(L73&gt;=25,"B",IF(L73&gt;=15,"C",IF(L73&gt;=8,"D","F"))))</f>
        <v>F</v>
      </c>
      <c r="N73" s="4" t="s">
        <v>221</v>
      </c>
      <c r="O73" s="4" t="s">
        <v>67</v>
      </c>
      <c r="P73" s="4" t="s">
        <v>27</v>
      </c>
      <c r="Q73" s="4" t="s">
        <v>28</v>
      </c>
      <c r="R73" s="4" t="s">
        <v>222</v>
      </c>
      <c r="S73" s="2" t="s">
        <v>30</v>
      </c>
    </row>
    <row r="74" customFormat="false" ht="15" hidden="false" customHeight="false" outlineLevel="0" collapsed="false">
      <c r="A74" s="2" t="s">
        <v>304</v>
      </c>
      <c r="B74" s="2" t="s">
        <v>218</v>
      </c>
      <c r="C74" s="2" t="s">
        <v>228</v>
      </c>
      <c r="D74" s="2" t="s">
        <v>218</v>
      </c>
      <c r="E74" s="2" t="s">
        <v>305</v>
      </c>
      <c r="F74" s="2" t="s">
        <v>230</v>
      </c>
      <c r="G74" s="3" t="n">
        <v>5</v>
      </c>
      <c r="H74" s="3" t="n">
        <v>0</v>
      </c>
      <c r="I74" s="3" t="n">
        <v>0</v>
      </c>
      <c r="J74" s="3" t="n">
        <v>0</v>
      </c>
      <c r="K74" s="3" t="n">
        <v>-5</v>
      </c>
      <c r="L74" s="2" t="n">
        <f aca="false">SUM(G74:K74)</f>
        <v>0</v>
      </c>
      <c r="M74" s="2" t="str">
        <f aca="false">IF(L74&gt;=35,"A",IF(L74&gt;=25,"B",IF(L74&gt;=15,"C",IF(L74&gt;=8,"D","F"))))</f>
        <v>F</v>
      </c>
      <c r="N74" s="4" t="s">
        <v>221</v>
      </c>
      <c r="O74" s="4" t="s">
        <v>67</v>
      </c>
      <c r="P74" s="4" t="s">
        <v>27</v>
      </c>
      <c r="Q74" s="4" t="s">
        <v>28</v>
      </c>
      <c r="R74" s="4" t="s">
        <v>222</v>
      </c>
      <c r="S74" s="2" t="s">
        <v>30</v>
      </c>
    </row>
    <row r="75" customFormat="false" ht="15" hidden="false" customHeight="false" outlineLevel="0" collapsed="false">
      <c r="A75" s="2" t="s">
        <v>306</v>
      </c>
      <c r="B75" s="2" t="s">
        <v>218</v>
      </c>
      <c r="C75" s="2" t="s">
        <v>307</v>
      </c>
      <c r="D75" s="2" t="s">
        <v>218</v>
      </c>
      <c r="E75" s="2" t="s">
        <v>106</v>
      </c>
      <c r="F75" s="2" t="s">
        <v>308</v>
      </c>
      <c r="G75" s="3" t="n">
        <v>5</v>
      </c>
      <c r="H75" s="3" t="n">
        <v>0</v>
      </c>
      <c r="I75" s="3" t="n">
        <v>0</v>
      </c>
      <c r="J75" s="3" t="n">
        <v>0</v>
      </c>
      <c r="K75" s="3" t="n">
        <v>-5</v>
      </c>
      <c r="L75" s="2" t="n">
        <f aca="false">SUM(G75:K75)</f>
        <v>0</v>
      </c>
      <c r="M75" s="2" t="str">
        <f aca="false">IF(L75&gt;=35,"A",IF(L75&gt;=25,"B",IF(L75&gt;=15,"C",IF(L75&gt;=8,"D","F"))))</f>
        <v>F</v>
      </c>
      <c r="N75" s="4" t="s">
        <v>221</v>
      </c>
      <c r="O75" s="4" t="s">
        <v>67</v>
      </c>
      <c r="P75" s="4" t="s">
        <v>27</v>
      </c>
      <c r="Q75" s="4" t="s">
        <v>28</v>
      </c>
      <c r="R75" s="4" t="s">
        <v>222</v>
      </c>
      <c r="S75" s="2" t="s">
        <v>30</v>
      </c>
    </row>
    <row r="76" customFormat="false" ht="15" hidden="false" customHeight="false" outlineLevel="0" collapsed="false">
      <c r="A76" s="2" t="s">
        <v>309</v>
      </c>
      <c r="B76" s="2" t="s">
        <v>218</v>
      </c>
      <c r="C76" s="2" t="s">
        <v>224</v>
      </c>
      <c r="D76" s="2" t="s">
        <v>218</v>
      </c>
      <c r="E76" s="2" t="s">
        <v>106</v>
      </c>
      <c r="F76" s="2" t="s">
        <v>226</v>
      </c>
      <c r="G76" s="3" t="n">
        <v>5</v>
      </c>
      <c r="H76" s="3" t="n">
        <v>0</v>
      </c>
      <c r="I76" s="3" t="n">
        <v>10</v>
      </c>
      <c r="J76" s="3" t="n">
        <v>8</v>
      </c>
      <c r="K76" s="3" t="n">
        <v>-5</v>
      </c>
      <c r="L76" s="2" t="n">
        <f aca="false">SUM(G76:K76)</f>
        <v>18</v>
      </c>
      <c r="M76" s="2" t="str">
        <f aca="false">IF(L76&gt;=35,"A",IF(L76&gt;=25,"B",IF(L76&gt;=15,"C",IF(L76&gt;=8,"D","F"))))</f>
        <v>C</v>
      </c>
      <c r="N76" s="4" t="s">
        <v>221</v>
      </c>
      <c r="O76" s="4" t="s">
        <v>67</v>
      </c>
      <c r="P76" s="4" t="s">
        <v>125</v>
      </c>
      <c r="Q76" s="4" t="s">
        <v>68</v>
      </c>
      <c r="R76" s="4" t="s">
        <v>222</v>
      </c>
      <c r="S76" s="2" t="s">
        <v>30</v>
      </c>
    </row>
    <row r="77" customFormat="false" ht="15" hidden="false" customHeight="false" outlineLevel="0" collapsed="false">
      <c r="A77" s="2" t="s">
        <v>310</v>
      </c>
      <c r="B77" s="2" t="s">
        <v>218</v>
      </c>
      <c r="C77" s="2" t="s">
        <v>311</v>
      </c>
      <c r="D77" s="2" t="s">
        <v>312</v>
      </c>
      <c r="E77" s="2" t="s">
        <v>313</v>
      </c>
      <c r="F77" s="2" t="s">
        <v>266</v>
      </c>
      <c r="G77" s="3" t="n">
        <v>5</v>
      </c>
      <c r="H77" s="3" t="n">
        <v>6</v>
      </c>
      <c r="I77" s="3" t="n">
        <v>5</v>
      </c>
      <c r="J77" s="3" t="n">
        <v>8</v>
      </c>
      <c r="K77" s="3" t="n">
        <v>-15</v>
      </c>
      <c r="L77" s="2" t="n">
        <f aca="false">SUM(G77:K77)</f>
        <v>9</v>
      </c>
      <c r="M77" s="2" t="str">
        <f aca="false">IF(L77&gt;=35,"A",IF(L77&gt;=25,"B",IF(L77&gt;=15,"C",IF(L77&gt;=8,"D","F"))))</f>
        <v>D</v>
      </c>
      <c r="N77" s="4" t="s">
        <v>221</v>
      </c>
      <c r="O77" s="4" t="s">
        <v>85</v>
      </c>
      <c r="P77" s="4" t="s">
        <v>86</v>
      </c>
      <c r="Q77" s="4" t="s">
        <v>68</v>
      </c>
      <c r="R77" s="4" t="s">
        <v>268</v>
      </c>
      <c r="S77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5" t="s">
        <v>314</v>
      </c>
    </row>
    <row r="2" customFormat="false" ht="15" hidden="false" customHeight="false" outlineLevel="0" collapsed="false">
      <c r="A2" s="6"/>
    </row>
    <row r="3" customFormat="false" ht="23.85" hidden="false" customHeight="false" outlineLevel="0" collapsed="false">
      <c r="A3" s="7" t="s">
        <v>315</v>
      </c>
    </row>
    <row r="4" customFormat="false" ht="15" hidden="false" customHeight="false" outlineLevel="0" collapsed="false">
      <c r="A4" s="6" t="s">
        <v>316</v>
      </c>
    </row>
    <row r="5" customFormat="false" ht="23.85" hidden="false" customHeight="false" outlineLevel="0" collapsed="false">
      <c r="A5" s="6" t="s">
        <v>317</v>
      </c>
    </row>
    <row r="6" customFormat="false" ht="15" hidden="false" customHeight="false" outlineLevel="0" collapsed="false">
      <c r="A6" s="6"/>
    </row>
    <row r="7" customFormat="false" ht="15" hidden="false" customHeight="false" outlineLevel="0" collapsed="false">
      <c r="A7" s="7" t="s">
        <v>318</v>
      </c>
    </row>
    <row r="8" customFormat="false" ht="15" hidden="false" customHeight="false" outlineLevel="0" collapsed="false">
      <c r="A8" s="6" t="s">
        <v>319</v>
      </c>
    </row>
    <row r="9" customFormat="false" ht="15" hidden="false" customHeight="false" outlineLevel="0" collapsed="false">
      <c r="A9" s="6" t="s">
        <v>320</v>
      </c>
    </row>
    <row r="10" customFormat="false" ht="15" hidden="false" customHeight="false" outlineLevel="0" collapsed="false">
      <c r="A10" s="6" t="s">
        <v>321</v>
      </c>
    </row>
    <row r="11" customFormat="false" ht="15" hidden="false" customHeight="false" outlineLevel="0" collapsed="false">
      <c r="A11" s="6" t="s">
        <v>322</v>
      </c>
    </row>
    <row r="12" customFormat="false" ht="15" hidden="false" customHeight="false" outlineLevel="0" collapsed="false">
      <c r="A12" s="6" t="s">
        <v>323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7" t="s">
        <v>324</v>
      </c>
    </row>
    <row r="15" customFormat="false" ht="15" hidden="false" customHeight="false" outlineLevel="0" collapsed="false">
      <c r="A15" s="6" t="s">
        <v>325</v>
      </c>
    </row>
    <row r="16" customFormat="false" ht="15" hidden="false" customHeight="false" outlineLevel="0" collapsed="false">
      <c r="A16" s="6" t="s">
        <v>326</v>
      </c>
    </row>
    <row r="17" customFormat="false" ht="15" hidden="false" customHeight="false" outlineLevel="0" collapsed="false">
      <c r="A17" s="6" t="s">
        <v>327</v>
      </c>
    </row>
    <row r="18" customFormat="false" ht="15" hidden="false" customHeight="false" outlineLevel="0" collapsed="false">
      <c r="A18" s="6" t="s">
        <v>328</v>
      </c>
    </row>
    <row r="19" customFormat="false" ht="15" hidden="false" customHeight="false" outlineLevel="0" collapsed="false">
      <c r="A19" s="6" t="s">
        <v>329</v>
      </c>
    </row>
    <row r="20" customFormat="false" ht="15" hidden="false" customHeight="false" outlineLevel="0" collapsed="false">
      <c r="A20" s="6"/>
    </row>
    <row r="21" customFormat="false" ht="23.85" hidden="false" customHeight="false" outlineLevel="0" collapsed="false">
      <c r="A21" s="7" t="s">
        <v>330</v>
      </c>
    </row>
    <row r="22" customFormat="false" ht="23.85" hidden="false" customHeight="false" outlineLevel="0" collapsed="false">
      <c r="A22" s="6" t="s">
        <v>331</v>
      </c>
    </row>
    <row r="23" customFormat="false" ht="15" hidden="false" customHeight="false" outlineLevel="0" collapsed="false">
      <c r="A23" s="6" t="s">
        <v>332</v>
      </c>
    </row>
    <row r="24" customFormat="false" ht="15" hidden="false" customHeight="false" outlineLevel="0" collapsed="false">
      <c r="A24" s="6" t="s">
        <v>333</v>
      </c>
    </row>
    <row r="25" customFormat="false" ht="15" hidden="false" customHeight="false" outlineLevel="0" collapsed="false">
      <c r="A25" s="6"/>
    </row>
    <row r="26" customFormat="false" ht="15" hidden="false" customHeight="false" outlineLevel="0" collapsed="false">
      <c r="A26" s="7" t="s">
        <v>334</v>
      </c>
    </row>
    <row r="27" customFormat="false" ht="15" hidden="false" customHeight="false" outlineLevel="0" collapsed="false">
      <c r="A27" s="6" t="s">
        <v>335</v>
      </c>
    </row>
    <row r="28" customFormat="false" ht="15" hidden="false" customHeight="false" outlineLevel="0" collapsed="false">
      <c r="A28" s="6" t="s">
        <v>336</v>
      </c>
    </row>
    <row r="29" customFormat="false" ht="15" hidden="false" customHeight="false" outlineLevel="0" collapsed="false">
      <c r="A29" s="6"/>
    </row>
    <row r="30" customFormat="false" ht="15" hidden="false" customHeight="false" outlineLevel="0" collapsed="false">
      <c r="A30" s="7" t="s">
        <v>337</v>
      </c>
    </row>
    <row r="31" customFormat="false" ht="15" hidden="false" customHeight="false" outlineLevel="0" collapsed="false">
      <c r="A31" s="6" t="s">
        <v>338</v>
      </c>
    </row>
    <row r="32" customFormat="false" ht="15" hidden="false" customHeight="false" outlineLevel="0" collapsed="false">
      <c r="A32" s="6" t="s">
        <v>339</v>
      </c>
    </row>
    <row r="33" customFormat="false" ht="15" hidden="false" customHeight="false" outlineLevel="0" collapsed="false">
      <c r="A33" s="6"/>
    </row>
    <row r="34" customFormat="false" ht="15" hidden="false" customHeight="false" outlineLevel="0" collapsed="false">
      <c r="A34" s="7" t="s">
        <v>340</v>
      </c>
    </row>
    <row r="35" customFormat="false" ht="23.85" hidden="false" customHeight="false" outlineLevel="0" collapsed="false">
      <c r="A35" s="6" t="s">
        <v>341</v>
      </c>
    </row>
    <row r="36" customFormat="false" ht="23.85" hidden="false" customHeight="false" outlineLevel="0" collapsed="false">
      <c r="A36" s="6" t="s">
        <v>342</v>
      </c>
    </row>
    <row r="37" customFormat="false" ht="46.25" hidden="false" customHeight="false" outlineLevel="0" collapsed="false">
      <c r="A37" s="6" t="s">
        <v>343</v>
      </c>
    </row>
    <row r="38" customFormat="false" ht="15" hidden="false" customHeight="false" outlineLevel="0" collapsed="false">
      <c r="A38" s="6"/>
    </row>
    <row r="39" customFormat="false" ht="68.65" hidden="false" customHeight="false" outlineLevel="0" collapsed="false">
      <c r="A39" s="7" t="s">
        <v>344</v>
      </c>
    </row>
    <row r="40" customFormat="false" ht="15" hidden="false" customHeight="false" outlineLevel="0" collapsed="false">
      <c r="A40" s="6"/>
    </row>
    <row r="41" customFormat="false" ht="35.05" hidden="false" customHeight="false" outlineLevel="0" collapsed="false">
      <c r="A41" s="7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2026-07-23T06:14:13Z</dcterms:created>
  <dc:creator>openpyxl</dc:creator>
  <dc:description/>
  <dc:language>en-US</dc:language>
  <cp:lastModifiedBy/>
  <dcterms:modified xsi:type="dcterms:W3CDTF">2026-07-23T06:14:13Z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